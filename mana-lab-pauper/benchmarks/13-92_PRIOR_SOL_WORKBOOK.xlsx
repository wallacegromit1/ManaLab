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e2cda4dde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859123431e4841"/>
    <x:sheet xmlns:r="http://schemas.openxmlformats.org/officeDocument/2006/relationships" name="Configuration" sheetId="2" r:id="R7b01cc47720e4094"/>
    <x:sheet xmlns:r="http://schemas.openxmlformats.org/officeDocument/2006/relationships" name="C0 Comparison" sheetId="3" r:id="R26ca74378053469d"/>
    <x:sheet xmlns:r="http://schemas.openxmlformats.org/officeDocument/2006/relationships" name="Spell Castability" sheetId="4" r:id="R1adb5139ea33471b"/>
    <x:sheet xmlns:r="http://schemas.openxmlformats.org/officeDocument/2006/relationships" name="Color Access" sheetId="5" r:id="R8c1920365f8f46ad"/>
    <x:sheet xmlns:r="http://schemas.openxmlformats.org/officeDocument/2006/relationships" name="Tapland Frontier" sheetId="6" r:id="Rf6e345027316439e"/>
    <x:sheet xmlns:r="http://schemas.openxmlformats.org/officeDocument/2006/relationships" name="Pareto Finalists" sheetId="7" r:id="Rf172a7c0421446b4"/>
    <x:sheet xmlns:r="http://schemas.openxmlformats.org/officeDocument/2006/relationships" name="Sensitivity" sheetId="8" r:id="R8cb3b2a4fae447bf"/>
    <x:sheet xmlns:r="http://schemas.openxmlformats.org/officeDocument/2006/relationships" name="Demand &amp; Assumptions" sheetId="9" r:id="Rd6fe291402434f74"/>
    <x:sheet xmlns:r="http://schemas.openxmlformats.org/officeDocument/2006/relationships" name="Sources" sheetId="10" r:id="Rd0fe796ee5d3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%"/>
    <x:numFmt numFmtId="202" formatCode="0.000"/>
    <x:numFmt numFmtId="203" formatCode="0.0%"/>
  </x:numFmts>
  <x:fonts count="11">
    <x:font>
      <x:sz val="11"/>
      <x:name val="Carlito"/>
    </x:font>
    <x:font>
      <x:b/>
      <x:sz val="15"/>
      <x:color rgb="FF17202A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7202A"/>
      <x:name val="Arial"/>
    </x:font>
    <x:font>
      <x:b/>
      <x:sz val="11"/>
      <x:color rgb="FF17324D"/>
      <x:name val="Arial"/>
    </x:font>
    <x:font>
      <x:sz val="11"/>
      <x:color rgb="FF17202A"/>
      <x:name val="Arial"/>
    </x:font>
    <x:font>
      <x:sz val="10"/>
      <x:color rgb="FF1155CC"/>
      <x:name val="Arial"/>
    </x:font>
    <x:font>
      <x:b/>
      <x:sz val="11"/>
      <x:color rgb="FFFFFFFF"/>
      <x:name val="Arial"/>
    </x:font>
    <x:font>
      <x:b/>
      <x:sz val="11"/>
      <x:color rgb="FF17202A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2F6"/>
      </x:patternFill>
    </x:fill>
    <x:fill>
      <x:patternFill patternType="solid">
        <x:fgColor rgb="FFFFF4D6"/>
      </x:patternFill>
    </x:fill>
  </x:fills>
  <x:borders count="10">
    <x:border/>
    <x:border>
      <x:bottom style="medium">
        <x:color rgb="FF1F6F8B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medium">
        <x:color rgb="FF17324D"/>
      </x:top>
    </x:border>
    <x:border>
      <x:bottom style="thin">
        <x:color rgb="FF1F6F8B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0"/>
    </x:xf>
    <x:xf numFmtId="0" fontId="3" fillId="2" borderId="3" xfId="0" applyNumberFormat="1" applyFont="1" applyFill="1" applyBorder="1" applyAlignment="1">
      <x:alignment horizontal="center" vertical="center" wrapText="0"/>
    </x:xf>
    <x:xf numFmtId="0" fontId="3" fillId="2" borderId="4" xfId="0" applyNumberFormat="1" applyFont="1" applyFill="1" applyBorder="1" applyAlignment="1">
      <x:alignment horizontal="center"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201" fontId="4" fillId="0" borderId="5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201" fontId="4" fillId="0" borderId="6" xfId="0" applyNumberFormat="1" applyFont="1" applyFill="1" applyBorder="1" applyAlignment="1">
      <x:alignment vertical="center" wrapText="0"/>
    </x:xf>
    <x:xf numFmtId="0" fontId="4" fillId="0" borderId="7" xfId="0" applyNumberFormat="1" applyFont="1" applyFill="1" applyBorder="1" applyAlignment="1">
      <x:alignment vertical="center" wrapText="0"/>
    </x:xf>
    <x:xf numFmtId="201" fontId="4" fillId="0" borderId="7" xfId="0" applyNumberFormat="1" applyFont="1" applyFill="1" applyBorder="1" applyAlignment="1">
      <x:alignment vertical="center" wrapText="0"/>
    </x:xf>
    <x:xf numFmtId="202" fontId="4" fillId="0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76B3A"/>
      </x:font>
      <x:fill>
        <x:patternFill patternType="solid">
          <x:bgColor rgb="FFE7F4EC"/>
        </x:patternFill>
      </x:fill>
    </x:dxf>
    <x:dxf>
      <x:font>
        <x:b/>
        <x:color rgb="FF9D1C1C"/>
      </x:font>
      <x:fill>
        <x:patternFill patternType="solid">
          <x:bgColor rgb="FFFBE9E7"/>
        </x:patternFill>
      </x:fill>
    </x:dxf>
    <x:dxf>
      <x:font>
        <x:b/>
        <x:color rgb="FF176B3A"/>
      </x:font>
      <x:fill>
        <x:patternFill patternType="solid">
          <x:bgColor rgb="FFE7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916d2752c4946" /><Relationship Type="http://schemas.openxmlformats.org/officeDocument/2006/relationships/theme" Target="/xl/theme/theme1.xml" Id="R60677c276d07411e" /><Relationship Type="http://schemas.microsoft.com/office/2022/11/relationships/FeaturePropertyBag" Target="/xl/featurePropertyBag/featurePropertyBag.xml" Id="R8525dca3212e42a8" /><Relationship Type="http://schemas.openxmlformats.org/officeDocument/2006/relationships/sharedStrings" Target="/xl/sharedStrings.xml" Id="R867c9a6016834d6f" /><Relationship Type="http://schemas.openxmlformats.org/officeDocument/2006/relationships/worksheet" Target="/xl/worksheets/sheet1.xml" Id="R60859123431e4841" /><Relationship Type="http://schemas.openxmlformats.org/officeDocument/2006/relationships/worksheet" Target="/xl/worksheets/sheet2.xml" Id="R7b01cc47720e4094" /><Relationship Type="http://schemas.openxmlformats.org/officeDocument/2006/relationships/worksheet" Target="/xl/worksheets/sheet3.xml" Id="R26ca74378053469d" /><Relationship Type="http://schemas.openxmlformats.org/officeDocument/2006/relationships/worksheet" Target="/xl/worksheets/sheet4.xml" Id="R1adb5139ea33471b" /><Relationship Type="http://schemas.openxmlformats.org/officeDocument/2006/relationships/worksheet" Target="/xl/worksheets/sheet5.xml" Id="R8c1920365f8f46ad" /><Relationship Type="http://schemas.openxmlformats.org/officeDocument/2006/relationships/worksheet" Target="/xl/worksheets/sheet6.xml" Id="Rf6e345027316439e" /><Relationship Type="http://schemas.openxmlformats.org/officeDocument/2006/relationships/worksheet" Target="/xl/worksheets/sheet7.xml" Id="Rf172a7c0421446b4" /><Relationship Type="http://schemas.openxmlformats.org/officeDocument/2006/relationships/worksheet" Target="/xl/worksheets/sheet8.xml" Id="R8cb3b2a4fae447bf" /><Relationship Type="http://schemas.openxmlformats.org/officeDocument/2006/relationships/worksheet" Target="/xl/worksheets/sheet9.xml" Id="Rd6fe291402434f74" /><Relationship Type="http://schemas.openxmlformats.org/officeDocument/2006/relationships/worksheet" Target="/xl/worksheets/sheet10.xml" Id="Rd0fe796ee5d348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9ba05e6b454c23" /><Relationship Type="http://schemas.openxmlformats.org/officeDocument/2006/relationships/chart" Target="/xl/drawings/charts/chart2.xml" Id="Rc6918a21177242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Finalist regret versus optimal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Regret vs optimum</c:v>
          </c:tx>
          <c:spPr>
            <a:solidFill xmlns:a="http://schemas.openxmlformats.org/drawingml/2006/main">
              <a:srgbClr val="1F6F8B"/>
            </a:solidFill>
          </c:spPr>
          <c:cat>
            <c:strRef>
              <c:f>'Pareto Finalists'!$A$7:$A$12</c:f>
              <c:strCache>
                <c:ptCount val="0"/>
              </c:strCache>
            </c:strRef>
          </c:cat>
          <c:val>
            <c:numRef>
              <c:f>'Pareto Finalists'!$I$7:$I$12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Tapland frontier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Balanced failure cost</c:v>
          </c:tx>
          <c:spPr>
            <a:ln xmlns:a="http://schemas.openxmlformats.org/drawingml/2006/main" w="19050">
              <a:solidFill>
                <a:srgbClr val="C76D3A"/>
              </a:solidFill>
              <a:prstDash val="solid"/>
            </a:ln>
          </c:spPr>
          <c:marker>
            <c:symbol val="none"/>
          </c:marker>
          <c:cat>
            <c:strRef>
              <c:f>'Tapland Frontier'!$A$21:$A$24</c:f>
              <c:strCache>
                <c:ptCount val="0"/>
              </c:strCache>
            </c:strRef>
          </c:cat>
          <c:val>
            <c:numRef>
              <c:f>'Tapland Frontier'!$C$21:$C$24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9ba05e6b454c2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918a211772424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andConfiguration" displayName="LandConfiguration" ref="A6:F16" headerRowCount="1" totalsRowCount="0" totalsRowShown="0">
  <x:tableColumns count="6">
    <x:tableColumn id="1" name="Code"/>
    <x:tableColumn id="2" name="Land"/>
    <x:tableColumn id="3" name="Optimal"/>
    <x:tableColumn id="4" name="C0"/>
    <x:tableColumn id="5" name="Delta"/>
    <x:tableColumn id="6" name="Enters tapp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0Comparison" displayName="C0Comparison" ref="A6:E24" headerRowCount="1" totalsRowCount="0" totalsRowShown="0">
  <x:tableColumns count="5">
    <x:tableColumn id="1" name="Metric"/>
    <x:tableColumn id="2" name="C0"/>
    <x:tableColumn id="3" name="Optimal"/>
    <x:tableColumn id="4" name="Delta"/>
    <x:tableColumn id="5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llCastability" displayName="SpellCastability" ref="A6:M20" headerRowCount="1" totalsRowCount="0" totalsRowShown="0">
  <x:tableColumns count="13">
    <x:tableColumn id="1" name="Spell"/>
    <x:tableColumn id="2" name="Copies"/>
    <x:tableColumn id="3" name="Cost"/>
    <x:tableColumn id="4" name="Color demand"/>
    <x:tableColumn id="5" name="Desired window"/>
    <x:tableColumn id="6" name="C0 raw"/>
    <x:tableColumn id="7" name="Optimal raw"/>
    <x:tableColumn id="8" name="Raw delta"/>
    <x:tableColumn id="9" name="C0 Boulder-adjusted"/>
    <x:tableColumn id="10" name="Optimal Boulder-adjusted"/>
    <x:tableColumn id="11" name="Adjusted delta"/>
    <x:tableColumn id="12" name="Boulder meaningful"/>
    <x:tableColumn id="13" name="Role / mechani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orAccess" displayName="ColorAccess" ref="A6:E86" headerRowCount="1" totalsRowCount="0" totalsRowShown="0">
  <x:tableColumns count="5">
    <x:tableColumn id="1" name="Configuration"/>
    <x:tableColumn id="2" name="Metric"/>
    <x:tableColumn id="3" name="Turn"/>
    <x:tableColumn id="4" name="Raw"/>
    <x:tableColumn id="5" name="Boulder-adjus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ingTapCounts" displayName="OpeningTapCounts" ref="A7:H16" headerRowCount="1" totalsRowCount="0" totalsRowShown="0">
  <x:tableColumns count="8">
    <x:tableColumn id="1" name="Tapped duals"/>
    <x:tableColumn id="2" name="Legal under constraints"/>
    <x:tableColumn id="3" name="Untapped monos"/>
    <x:tableColumn id="4" name="Expected tapped lands in opening 7"/>
    <x:tableColumn id="5" name="P(no untapped land in opening 7)"/>
    <x:tableColumn id="6" name="P(only land is tapped)"/>
    <x:tableColumn id="7" name="P(two-land opener: both tapped)"/>
    <x:tableColumn id="8" name="P(no lands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plandSimulation" displayName="TaplandSimulation" ref="A20:F26" headerRowCount="1" totalsRowCount="0" totalsRowShown="0">
  <x:tableColumns count="6">
    <x:tableColumn id="1" name="Tapped duals"/>
    <x:tableColumn id="2" name="Best simulated configuration"/>
    <x:tableColumn id="3" name="Balanced failure cost"/>
    <x:tableColumn id="4" name="Unavailable mana through T3"/>
    <x:tableColumn id="5" name="T2 realized delay"/>
    <x:tableColumn id="6" name="T3 realized dela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etoFinalists" displayName="ParetoFinalists" ref="A6:K12" headerRowCount="1" totalsRowCount="0" totalsRowShown="0">
  <x:tableColumns count="11">
    <x:tableColumn id="1" name="Configuration"/>
    <x:tableColumn id="2" name="Untapped"/>
    <x:tableColumn id="3" name="Tapped"/>
    <x:tableColumn id="4" name="Source W"/>
    <x:tableColumn id="5" name="Source U"/>
    <x:tableColumn id="6" name="Source B"/>
    <x:tableColumn id="7" name="Source R"/>
    <x:tableColumn id="8" name="Balanced failure cost"/>
    <x:tableColumn id="9" name="Regret vs optimum"/>
    <x:tableColumn id="10" name="Advantage"/>
    <x:tableColumn id="11" name="Weaknes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nsitivityProfiles" displayName="SensitivityProfiles" ref="A6:D78" headerRowCount="1" totalsRowCount="0" totalsRowShown="0">
  <x:tableColumns count="4">
    <x:tableColumn id="1" name="Profile"/>
    <x:tableColumn id="2" name="Configuration"/>
    <x:tableColumn id="3" name="Score"/>
    <x:tableColumn id="4" name="Regre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layDrawMulligan" displayName="PlayDrawMulligan" ref="F7:J31" headerRowCount="1" totalsRowCount="0" totalsRowShown="0">
  <x:tableColumns count="5">
    <x:tableColumn id="1" name="Model"/>
    <x:tableColumn id="2" name="Configuration"/>
    <x:tableColumn id="3" name="Balanced failure cost"/>
    <x:tableColumn id="4" name="Regret"/>
    <x:tableColumn id="5" name="Winn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plicateStability" displayName="ReplicateStability" ref="F35:H47" headerRowCount="1" totalsRowCount="0" totalsRowShown="0">
  <x:tableColumns count="3">
    <x:tableColumn id="1" name="Seed"/>
    <x:tableColumn id="2" name="Configuration"/>
    <x:tableColumn id="3" name="Balanced failure cos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pellDemand" displayName="SpellDemand" ref="A6:L20" headerRowCount="1" totalsRowCount="0" totalsRowShown="0">
  <x:tableColumns count="12">
    <x:tableColumn id="1" name="Spell"/>
    <x:tableColumn id="2" name="Copies"/>
    <x:tableColumn id="3" name="Mana cost"/>
    <x:tableColumn id="4" name="Colored demand"/>
    <x:tableColumn id="5" name="Earliest / target window"/>
    <x:tableColumn id="6" name="T1 weight"/>
    <x:tableColumn id="7" name="T2 weight"/>
    <x:tableColumn id="8" name="T3 weight"/>
    <x:tableColumn id="9" name="T4 weight"/>
    <x:tableColumn id="10" name="Objective weight"/>
    <x:tableColumn id="11" name="Timing"/>
    <x:tableColumn id="12" name="Mechanic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sTable" displayName="SourcesTable" ref="A6:C11" headerRowCount="1" totalsRowCount="0" totalsRowShown="0">
  <x:tableColumns count="3">
    <x:tableColumn id="1" name="Source"/>
    <x:tableColumn id="2" name="Use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fef321540b40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5585f831646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55bbeaa6d34c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b39452319e4c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ed228988cd4f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a81164eb914262" /><Relationship Type="http://schemas.openxmlformats.org/officeDocument/2006/relationships/table" Target="/xl/tables/table6.xml" Id="R36c00df56e004d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91cc885fdb641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047e0f8a1ac4a7f" /><Relationship Type="http://schemas.openxmlformats.org/officeDocument/2006/relationships/table" Target="/xl/tables/table9.xml" Id="R11e5974eb36b4b7c" /><Relationship Type="http://schemas.openxmlformats.org/officeDocument/2006/relationships/table" Target="/xl/tables/table10.xml" Id="Rc5f1a951ecb54f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850268cb03424c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58632db255b948e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6" hidden="0" customWidth="1"/>
    <x:col min="2" max="2" width="64" hidden="0" customWidth="1"/>
    <x:col min="3" max="3" width="28" hidden="0" customWidth="1"/>
    <x:col min="4" max="4" width="22" hidden="0" customWidth="1"/>
    <x:col min="5" max="5" width="16" hidden="0" customWidth="1"/>
    <x:col min="6" max="6" width="16" hidden="0" customWidth="1"/>
    <x:col min="7" max="7" width="3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2" ht="18" hidden="0" customHeight="1">
      <x:c r="A2" s="65" t="str">
        <x:v>Strixpatch Affinity v1.3 — Mana-Base Optimization</x:v>
      </x:c>
      <x:c r="B2" s="80"/>
      <x:c r="C2" s="80"/>
      <x:c r="D2" s="80"/>
      <x:c r="E2" s="80"/>
      <x:c r="F2" s="80"/>
      <x:c r="G2" s="80"/>
      <x:c r="H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</x:row>
    <x:row r="4" ht="15" hidden="0" customHeight="1">
      <x:c r="A4" s="68" t="str">
        <x:v>Exact recommendation from complete enumeration and finalist Monte Carlo validation.</x:v>
      </x:c>
      <x:c r="B4" s="80"/>
      <x:c r="C4" s="80"/>
      <x:c r="D4" s="80"/>
      <x:c r="E4" s="80"/>
      <x:c r="F4" s="80"/>
      <x:c r="G4" s="80"/>
      <x:c r="H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</x:row>
    <x:row r="6" ht="15" hidden="0" customHeight="1">
      <x:c r="A6" s="69" t="str">
        <x:v>Recommendation</x:v>
      </x:c>
      <x:c r="B6" s="69"/>
      <x:c r="C6" s="69"/>
      <x:c r="D6" s="69"/>
      <x:c r="E6" s="69"/>
      <x:c r="F6" s="69"/>
      <x:c r="G6" s="80"/>
      <x:c r="H6" s="80"/>
    </x:row>
    <x:row r="7" ht="15" hidden="0" customHeight="1">
      <x:c r="A7" s="70" t="str">
        <x:v>4 Ancient Den</x:v>
      </x:c>
      <x:c r="B7" s="80"/>
      <x:c r="C7" s="71" t="str">
        <x:v>Untapped / tapped</x:v>
      </x:c>
      <x:c r="D7" s="70" t="str">
        <x:v>16 / 3</x:v>
      </x:c>
      <x:c r="E7" s="80"/>
      <x:c r="F7" s="80"/>
      <x:c r="G7" s="80"/>
      <x:c r="H7" s="80"/>
    </x:row>
    <x:row r="8" ht="15" hidden="0" customHeight="1">
      <x:c r="A8" s="70" t="str">
        <x:v>4 Seat of the Synod</x:v>
      </x:c>
      <x:c r="B8" s="80"/>
      <x:c r="C8" s="71" t="str">
        <x:v>Direct sources</x:v>
      </x:c>
      <x:c r="D8" s="70" t="str">
        <x:v>W4 / U7 / B7 / R4</x:v>
      </x:c>
      <x:c r="E8" s="80"/>
      <x:c r="F8" s="80"/>
      <x:c r="G8" s="80"/>
      <x:c r="H8" s="80"/>
    </x:row>
    <x:row r="9" ht="15" hidden="0" customHeight="1">
      <x:c r="A9" s="70" t="str">
        <x:v>4 Vault of Whispers</x:v>
      </x:c>
      <x:c r="B9" s="80"/>
      <x:c r="C9" s="71" t="str">
        <x:v>Failure-cost improvement</x:v>
      </x:c>
      <x:c r="D9" s="72" t="n">
        <x:v>0.0498548838590126</x:v>
      </x:c>
      <x:c r="E9" s="80"/>
      <x:c r="F9" s="80"/>
      <x:c r="G9" s="80"/>
      <x:c r="H9" s="80"/>
    </x:row>
    <x:row r="10" ht="15" hidden="0" customHeight="1">
      <x:c r="A10" s="70" t="str">
        <x:v>4 Great Furnace</x:v>
      </x:c>
      <x:c r="B10" s="80"/>
      <x:c r="C10" s="71" t="str">
        <x:v>Confidence</x:v>
      </x:c>
      <x:c r="D10" s="70" t="str">
        <x:v>High</x:v>
      </x:c>
      <x:c r="E10" s="80"/>
      <x:c r="F10" s="80"/>
      <x:c r="G10" s="80"/>
      <x:c r="H10" s="80"/>
    </x:row>
    <x:row r="11" ht="15" hidden="0" customHeight="1">
      <x:c r="A11" s="70" t="str">
        <x:v>3 Mistvault Bridge</x:v>
      </x:c>
      <x:c r="B11" s="80"/>
      <x:c r="C11" s="80"/>
      <x:c r="D11" s="80"/>
      <x:c r="E11" s="80"/>
      <x:c r="F11" s="80"/>
      <x:c r="G11" s="80"/>
      <x:c r="H11" s="80"/>
    </x:row>
    <x:row r="12" ht="15" hidden="0" customHeight="1">
      <x:c r="A12" s="80"/>
      <x:c r="B12" s="80"/>
      <x:c r="C12" s="80"/>
      <x:c r="D12" s="80"/>
      <x:c r="E12" s="80"/>
      <x:c r="F12" s="80"/>
      <x:c r="G12" s="80"/>
      <x:c r="H12" s="80"/>
    </x:row>
    <x:row r="13" ht="15" hidden="0" customHeight="1">
      <x:c r="A13" s="80"/>
      <x:c r="B13" s="80"/>
      <x:c r="C13" s="80"/>
      <x:c r="D13" s="80"/>
      <x:c r="E13" s="80"/>
      <x:c r="F13" s="80"/>
      <x:c r="G13" s="80"/>
      <x:c r="H13" s="80"/>
    </x:row>
    <x:row r="14" ht="15" hidden="0" customHeight="1">
      <x:c r="A14" s="73" t="str">
        <x:v>Why it wins</x:v>
      </x:c>
      <x:c r="B14" s="80"/>
      <x:c r="C14" s="80"/>
      <x:c r="D14" s="80"/>
      <x:c r="E14" s="80"/>
      <x:c r="F14" s="80"/>
      <x:c r="G14" s="80"/>
      <x:c r="H14" s="80"/>
    </x:row>
    <x:row r="15" ht="31" hidden="0" customHeight="1">
      <x:c r="A15" s="74" t="str">
        <x:v>1</x:v>
      </x:c>
      <x:c r="B15" s="75" t="str">
        <x:v>It is the minimum legal Bridge count, so it has 16 untapped artifact lands.</x:v>
      </x:c>
      <x:c r="C15" s="80"/>
      <x:c r="D15" s="80"/>
      <x:c r="E15" s="80"/>
      <x:c r="F15" s="80"/>
      <x:c r="G15" s="80"/>
      <x:c r="H15" s="80"/>
    </x:row>
    <x:row r="16" ht="31" hidden="0" customHeight="1">
      <x:c r="A16" s="74" t="str">
        <x:v>2</x:v>
      </x:c>
      <x:c r="B16" s="75" t="str">
        <x:v>Three UB Bridges preserve the important U7/B7 totals and maximize two-color Strix coverage.</x:v>
      </x:c>
      <x:c r="C16" s="80"/>
      <x:c r="D16" s="80"/>
      <x:c r="E16" s="80"/>
      <x:c r="F16" s="80"/>
      <x:c r="G16" s="80"/>
      <x:c r="H16" s="80"/>
    </x:row>
    <x:row r="17" ht="31" hidden="0" customHeight="1">
      <x:c r="A17" s="74" t="str">
        <x:v>3</x:v>
      </x:c>
      <x:c r="B17" s="75" t="str">
        <x:v>The fourth Ancient Den improves T1 white availability even though total late white sources fall from five to four.</x:v>
      </x:c>
      <x:c r="C17" s="80"/>
      <x:c r="D17" s="80"/>
      <x:c r="E17" s="80"/>
      <x:c r="F17" s="80"/>
      <x:c r="G17" s="80"/>
      <x:c r="H17" s="80"/>
    </x:row>
    <x:row r="18" ht="31" hidden="0" customHeight="1">
      <x:c r="A18" s="74" t="str">
        <x:v>4</x:v>
      </x:c>
      <x:c r="B18" s="75" t="str">
        <x:v>Expected unavailable mana through T3 falls from 0.545 to 0.419; T3 realized delay falls from 10.48% to 6.25%.</x:v>
      </x:c>
      <x:c r="C18" s="80"/>
      <x:c r="D18" s="80"/>
      <x:c r="E18" s="80"/>
      <x:c r="F18" s="80"/>
      <x:c r="G18" s="80"/>
      <x:c r="H18" s="80"/>
    </x:row>
    <x:row r="19" ht="31" hidden="0" customHeight="1">
      <x:c r="A19" s="74" t="str">
        <x:v>5</x:v>
      </x:c>
      <x:c r="B19" s="75" t="str">
        <x:v>The result survives raw-seven, London, play-only, draw-only, low-Boulder, tempo, color, and interaction stress tests.</x:v>
      </x:c>
      <x:c r="C19" s="80"/>
      <x:c r="D19" s="80"/>
      <x:c r="E19" s="80"/>
      <x:c r="F19" s="80"/>
      <x:c r="G19" s="80"/>
      <x:c r="H19" s="80"/>
    </x:row>
    <x:row r="20" ht="15" hidden="0" customHeight="1">
      <x:c r="A20" s="80"/>
      <x:c r="B20" s="80"/>
      <x:c r="C20" s="80"/>
      <x:c r="D20" s="80"/>
      <x:c r="E20" s="80"/>
      <x:c r="F20" s="80"/>
      <x:c r="G20" s="80"/>
      <x:c r="H20" s="80"/>
    </x:row>
    <x:row r="21" ht="15" hidden="0" customHeight="1">
      <x:c r="A21" s="80"/>
      <x:c r="B21" s="80"/>
      <x:c r="C21" s="80"/>
      <x:c r="D21" s="80"/>
      <x:c r="E21" s="80"/>
      <x:c r="F21" s="80"/>
      <x:c r="G21" s="80"/>
      <x:c r="H21" s="80"/>
    </x:row>
    <x:row r="22" ht="15" hidden="0" customHeight="1">
      <x:c r="A22" s="73" t="str">
        <x:v>C0 versus optimal</x:v>
      </x:c>
      <x:c r="B22" s="80"/>
      <x:c r="C22" s="80"/>
      <x:c r="D22" s="80"/>
      <x:c r="E22" s="80"/>
      <x:c r="F22" s="80"/>
      <x:c r="G22" s="80"/>
      <x:c r="H22" s="80"/>
    </x:row>
    <x:row r="23" ht="15" hidden="0" customHeight="1">
      <x:c r="A23" s="76" t="str">
        <x:v>Metric</x:v>
      </x:c>
      <x:c r="B23" s="76" t="str">
        <x:v>C0</x:v>
      </x:c>
      <x:c r="C23" s="76" t="str">
        <x:v>Optimal</x:v>
      </x:c>
      <x:c r="D23" s="76" t="str">
        <x:v>Change</x:v>
      </x:c>
      <x:c r="E23" s="80"/>
      <x:c r="F23" s="80"/>
      <x:c r="G23" s="80"/>
      <x:c r="H23" s="80"/>
    </x:row>
    <x:row r="24" ht="15" hidden="0" customHeight="1">
      <x:c r="A24" s="80" t="str">
        <x:v>Untapped lands</x:v>
      </x:c>
      <x:c r="B24" s="80" t="n">
        <x:v>15</x:v>
      </x:c>
      <x:c r="C24" s="80" t="n">
        <x:v>16</x:v>
      </x:c>
      <x:c r="D24" s="80" t="n">
        <x:v>1</x:v>
      </x:c>
      <x:c r="E24" s="80"/>
      <x:c r="F24" s="80"/>
      <x:c r="G24" s="80"/>
      <x:c r="H24" s="80"/>
    </x:row>
    <x:row r="25" ht="15" hidden="0" customHeight="1">
      <x:c r="A25" s="80" t="str">
        <x:v>Usable W on T1</x:v>
      </x:c>
      <x:c r="B25" s="82" t="n">
        <x:v>0.161209</x:v>
      </x:c>
      <x:c r="C25" s="82" t="n">
        <x:v>0.212686</x:v>
      </x:c>
      <x:c r="D25" s="82" t="n">
        <x:v>0.0514769999999999</x:v>
      </x:c>
      <x:c r="E25" s="80"/>
      <x:c r="F25" s="80"/>
      <x:c r="G25" s="80"/>
      <x:c r="H25" s="80"/>
    </x:row>
    <x:row r="26" ht="15" hidden="0" customHeight="1">
      <x:c r="A26" s="80" t="str">
        <x:v>UB together on T2</x:v>
      </x:c>
      <x:c r="B26" s="82" t="n">
        <x:v>0.249158</x:v>
      </x:c>
      <x:c r="C26" s="82" t="n">
        <x:v>0.243115</x:v>
      </x:c>
      <x:c r="D26" s="82" t="n">
        <x:v>-0.0060429999999999</x:v>
      </x:c>
      <x:c r="E26" s="80"/>
      <x:c r="F26" s="80"/>
      <x:c r="G26" s="80"/>
      <x:c r="H26" s="80"/>
    </x:row>
    <x:row r="27" ht="15" hidden="0" customHeight="1">
      <x:c r="A27" s="80" t="str">
        <x:v>Unavailable mana through T3</x:v>
      </x:c>
      <x:c r="B27" s="83" t="n">
        <x:v>0.545474</x:v>
      </x:c>
      <x:c r="C27" s="83" t="n">
        <x:v>0.418838</x:v>
      </x:c>
      <x:c r="D27" s="83" t="n">
        <x:v>-0.126636</x:v>
      </x:c>
      <x:c r="E27" s="80"/>
      <x:c r="F27" s="80"/>
      <x:c r="G27" s="80"/>
      <x:c r="H27" s="80"/>
    </x:row>
    <x:row r="28" ht="15" hidden="0" customHeight="1">
      <x:c r="A28" s="80" t="str">
        <x:v>T3 realized spell delay</x:v>
      </x:c>
      <x:c r="B28" s="82" t="n">
        <x:v>0.104791</x:v>
      </x:c>
      <x:c r="C28" s="82" t="n">
        <x:v>0.062536</x:v>
      </x:c>
      <x:c r="D28" s="82" t="n">
        <x:v>-0.042255</x:v>
      </x:c>
      <x:c r="E28" s="80"/>
      <x:c r="F28" s="80"/>
      <x:c r="G28" s="80"/>
      <x:c r="H28" s="80"/>
    </x:row>
    <x:row r="29" ht="15" hidden="0" customHeight="1">
      <x:c r="A29" s="80" t="str">
        <x:v>Balanced failure cost</x:v>
      </x:c>
      <x:c r="B29" s="83" t="n">
        <x:v>17.54690642847666</x:v>
      </x:c>
      <x:c r="C29" s="83" t="n">
        <x:v>16.672107446399995</x:v>
      </x:c>
      <x:c r="D29" s="83" t="n">
        <x:v>-0.8747989820766655</x:v>
      </x:c>
      <x:c r="E29" s="80"/>
      <x:c r="F29" s="80"/>
      <x:c r="G29" s="80"/>
      <x:c r="H29" s="80"/>
    </x:row>
    <x:row r="30" ht="15" hidden="0" customHeight="1">
      <x:c r="A30" s="80"/>
      <x:c r="B30" s="80"/>
      <x:c r="C30" s="80"/>
      <x:c r="D30" s="80"/>
      <x:c r="E30" s="80"/>
      <x:c r="F30" s="80"/>
      <x:c r="G30" s="80"/>
      <x:c r="H30" s="80"/>
    </x:row>
    <x:row r="31" ht="15" hidden="0" customHeight="1">
      <x:c r="A31" s="80"/>
      <x:c r="B31" s="80"/>
      <x:c r="C31" s="80"/>
      <x:c r="D31" s="80"/>
      <x:c r="E31" s="80"/>
      <x:c r="F31" s="80"/>
      <x:c r="G31" s="80"/>
      <x:c r="H31" s="80"/>
    </x:row>
    <x:row r="32" ht="42" hidden="0" customHeight="1">
      <x:c r="A32" s="79" t="str">
        <x:v>Decision</x:v>
      </x:c>
      <x:c r="B32" s="75" t="str">
        <x:v>Register the 16/3 configuration. It is a material improvement over C0 on the modeled mana-functionality objective, not a microscopic tie.</x:v>
      </x:c>
      <x:c r="C32" s="75"/>
      <x:c r="D32" s="75"/>
      <x:c r="E32" s="75"/>
      <x:c r="F32" s="75"/>
      <x:c r="G32" s="80"/>
      <x:c r="H32" s="80"/>
    </x:row>
    <x:row r="33" ht="42" hidden="0" customHeight="1">
      <x:c r="A33" s="79" t="str">
        <x:v>Primary caveat</x:v>
      </x:c>
      <x:c r="B33" s="75" t="str">
        <x:v>Result is conditional on the stated spell-window weights and heuristic competent sequencing policy; exact match win rate was not modeled.</x:v>
      </x:c>
      <x:c r="C33" s="75"/>
      <x:c r="D33" s="75"/>
      <x:c r="E33" s="75"/>
      <x:c r="F33" s="75"/>
      <x:c r="G33" s="80"/>
      <x:c r="H33" s="80"/>
    </x:row>
    <x:row r="34" ht="42" hidden="0" customHeight="1">
      <x:c r="A34" s="79" t="str">
        <x:v>Exception</x:v>
      </x:c>
      <x:c r="B34" s="75" t="str">
        <x:v>If Dispatch is deliberately made much more important than every other demand, 4 Den / 4 Seat / 4 Vault / 4 Furnace / 1 Razortide / 2 Mistvault becomes the preferred stress-case configuration.</x:v>
      </x:c>
      <x:c r="C34" s="75"/>
      <x:c r="D34" s="75"/>
      <x:c r="E34" s="75"/>
      <x:c r="F34" s="75"/>
      <x:c r="G34" s="80"/>
      <x:c r="H34" s="80"/>
    </x:row>
  </x:sheetData>
  <x:conditionalFormatting sqref="D24:D25">
    <x:cfRule type="cellIs" dxfId="0" priority="1" operator="greaterThanOrEqual">
      <x:formula>0</x:formula>
    </x:cfRule>
  </x:conditionalFormatting>
  <x:conditionalFormatting sqref="D26:D26">
    <x:cfRule type="cellIs" dxfId="1" priority="2" operator="lessThan">
      <x:formula>0</x:formula>
    </x:cfRule>
  </x:conditionalFormatting>
  <x:conditionalFormatting sqref="D27:D29">
    <x:cfRule type="cellIs" dxfId="2" priority="3" operator="lessThanOrEqual">
      <x:formula>0</x:formula>
    </x:cfRule>
  </x:conditionalFormatting>
  <x:pageMargins left="0.7" right="0.7" top="0.75" bottom="0.75" header="0.3" footer="0.3"/>
  <x:drawing xmlns:r="http://schemas.openxmlformats.org/officeDocument/2006/relationships" r:id="R8cfef321540b40f8"/>
</x:worksheet>
</file>

<file path=xl/worksheets/sheet2.xml><?xml version="1.0" encoding="utf-8"?>
<x:worksheet xmlns:x="http://schemas.openxmlformats.org/spreadsheetml/2006/main">
  <x:sheetPr>
    <x:tabColor rgb="FF1F6F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</x:cols>
  <x:sheetData>
    <x:row r="2" ht="18" hidden="0" customHeight="1">
      <x:c r="A2" s="65" t="str">
        <x:v>Exact 19-land configuration</x:v>
      </x:c>
      <x:c r="B2" s="80"/>
      <x:c r="C2" s="80"/>
      <x:c r="D2" s="80"/>
      <x:c r="E2" s="80"/>
      <x:c r="F2" s="80"/>
      <x:c r="G2" s="80"/>
      <x:c r="H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</x:row>
    <x:row r="4" ht="15" hidden="0" customHeight="1">
      <x:c r="A4" s="68" t="str">
        <x:v>All listed lands are artifacts. Mono lands enter untapped; Bridges enter tapped.</x:v>
      </x:c>
      <x:c r="B4" s="80"/>
      <x:c r="C4" s="80"/>
      <x:c r="D4" s="80"/>
      <x:c r="E4" s="80"/>
      <x:c r="F4" s="80"/>
      <x:c r="G4" s="80"/>
      <x:c r="H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</x:row>
    <x:row r="6" ht="15" hidden="0" customHeight="1">
      <x:c r="A6" s="16" t="str">
        <x:v>Code</x:v>
      </x:c>
      <x:c r="B6" s="17" t="str">
        <x:v>Land</x:v>
      </x:c>
      <x:c r="C6" s="17" t="str">
        <x:v>Optimal</x:v>
      </x:c>
      <x:c r="D6" s="17" t="str">
        <x:v>C0</x:v>
      </x:c>
      <x:c r="E6" s="17" t="str">
        <x:v>Delta</x:v>
      </x:c>
      <x:c r="F6" s="18" t="str">
        <x:v>Enters tapped</x:v>
      </x:c>
      <x:c r="G6" s="80"/>
      <x:c r="H6" s="80"/>
    </x:row>
    <x:row r="7" ht="15" hidden="0" customHeight="1">
      <x:c r="A7" s="23" t="str">
        <x:v>W</x:v>
      </x:c>
      <x:c r="B7" s="23" t="str">
        <x:v>Ancient Den</x:v>
      </x:c>
      <x:c r="C7" s="23" t="n">
        <x:v>4</x:v>
      </x:c>
      <x:c r="D7" s="23" t="n">
        <x:v>3</x:v>
      </x:c>
      <x:c r="E7" s="23" t="n">
        <x:f>C7-D7</x:f>
        <x:v>1</x:v>
      </x:c>
      <x:c r="F7" s="24" t="b">
        <x:v>0</x:v>
      </x:c>
      <x:c r="G7" s="80"/>
      <x:c r="H7" s="80"/>
    </x:row>
    <x:row r="8" ht="15" hidden="0" customHeight="1">
      <x:c r="A8" s="25" t="str">
        <x:v>U</x:v>
      </x:c>
      <x:c r="B8" s="25" t="str">
        <x:v>Seat of the Synod</x:v>
      </x:c>
      <x:c r="C8" s="25" t="n">
        <x:v>4</x:v>
      </x:c>
      <x:c r="D8" s="25" t="n">
        <x:v>4</x:v>
      </x:c>
      <x:c r="E8" s="25" t="n">
        <x:f>C8-D8</x:f>
        <x:v>0</x:v>
      </x:c>
      <x:c r="F8" s="26" t="b">
        <x:v>0</x:v>
      </x:c>
      <x:c r="G8" s="80"/>
      <x:c r="H8" s="80"/>
    </x:row>
    <x:row r="9" ht="15" hidden="0" customHeight="1">
      <x:c r="A9" s="25" t="str">
        <x:v>B</x:v>
      </x:c>
      <x:c r="B9" s="25" t="str">
        <x:v>Vault of Whispers</x:v>
      </x:c>
      <x:c r="C9" s="25" t="n">
        <x:v>4</x:v>
      </x:c>
      <x:c r="D9" s="25" t="n">
        <x:v>4</x:v>
      </x:c>
      <x:c r="E9" s="25" t="n">
        <x:f>C9-D9</x:f>
        <x:v>0</x:v>
      </x:c>
      <x:c r="F9" s="26" t="b">
        <x:v>0</x:v>
      </x:c>
      <x:c r="G9" s="80"/>
      <x:c r="H9" s="80"/>
    </x:row>
    <x:row r="10" ht="15" hidden="0" customHeight="1">
      <x:c r="A10" s="25" t="str">
        <x:v>R</x:v>
      </x:c>
      <x:c r="B10" s="25" t="str">
        <x:v>Great Furnace</x:v>
      </x:c>
      <x:c r="C10" s="25" t="n">
        <x:v>4</x:v>
      </x:c>
      <x:c r="D10" s="25" t="n">
        <x:v>4</x:v>
      </x:c>
      <x:c r="E10" s="25" t="n">
        <x:f>C10-D10</x:f>
        <x:v>0</x:v>
      </x:c>
      <x:c r="F10" s="26" t="b">
        <x:v>0</x:v>
      </x:c>
      <x:c r="G10" s="80"/>
      <x:c r="H10" s="80"/>
    </x:row>
    <x:row r="11" ht="15" hidden="0" customHeight="1">
      <x:c r="A11" s="25" t="str">
        <x:v>WU</x:v>
      </x:c>
      <x:c r="B11" s="25" t="str">
        <x:v>Razortide Bridge</x:v>
      </x:c>
      <x:c r="C11" s="25" t="n">
        <x:v>0</x:v>
      </x:c>
      <x:c r="D11" s="25" t="n">
        <x:v>1</x:v>
      </x:c>
      <x:c r="E11" s="25" t="n">
        <x:f>C11-D11</x:f>
        <x:v>-1</x:v>
      </x:c>
      <x:c r="F11" s="26" t="b">
        <x:v>1</x:v>
      </x:c>
      <x:c r="G11" s="80"/>
      <x:c r="H11" s="80"/>
    </x:row>
    <x:row r="12" ht="15" hidden="0" customHeight="1">
      <x:c r="A12" s="25" t="str">
        <x:v>WB</x:v>
      </x:c>
      <x:c r="B12" s="25" t="str">
        <x:v>Goldmire Bridge</x:v>
      </x:c>
      <x:c r="C12" s="25" t="n">
        <x:v>0</x:v>
      </x:c>
      <x:c r="D12" s="25" t="n">
        <x:v>1</x:v>
      </x:c>
      <x:c r="E12" s="25" t="n">
        <x:f>C12-D12</x:f>
        <x:v>-1</x:v>
      </x:c>
      <x:c r="F12" s="26" t="b">
        <x:v>1</x:v>
      </x:c>
      <x:c r="G12" s="80"/>
      <x:c r="H12" s="80"/>
    </x:row>
    <x:row r="13" ht="15" hidden="0" customHeight="1">
      <x:c r="A13" s="25" t="str">
        <x:v>WR</x:v>
      </x:c>
      <x:c r="B13" s="25" t="str">
        <x:v>Rustvale Bridge</x:v>
      </x:c>
      <x:c r="C13" s="25" t="n">
        <x:v>0</x:v>
      </x:c>
      <x:c r="D13" s="25" t="n">
        <x:v>0</x:v>
      </x:c>
      <x:c r="E13" s="25" t="n">
        <x:f>C13-D13</x:f>
        <x:v>0</x:v>
      </x:c>
      <x:c r="F13" s="26" t="b">
        <x:v>1</x:v>
      </x:c>
      <x:c r="G13" s="80"/>
      <x:c r="H13" s="80"/>
    </x:row>
    <x:row r="14" ht="15" hidden="0" customHeight="1">
      <x:c r="A14" s="25" t="str">
        <x:v>UB</x:v>
      </x:c>
      <x:c r="B14" s="25" t="str">
        <x:v>Mistvault Bridge</x:v>
      </x:c>
      <x:c r="C14" s="25" t="n">
        <x:v>3</x:v>
      </x:c>
      <x:c r="D14" s="25" t="n">
        <x:v>2</x:v>
      </x:c>
      <x:c r="E14" s="25" t="n">
        <x:f>C14-D14</x:f>
        <x:v>1</x:v>
      </x:c>
      <x:c r="F14" s="26" t="b">
        <x:v>1</x:v>
      </x:c>
      <x:c r="G14" s="80"/>
      <x:c r="H14" s="80"/>
    </x:row>
    <x:row r="15" ht="15" hidden="0" customHeight="1">
      <x:c r="A15" s="25" t="str">
        <x:v>UR</x:v>
      </x:c>
      <x:c r="B15" s="25" t="str">
        <x:v>Silverbluff Bridge</x:v>
      </x:c>
      <x:c r="C15" s="25" t="n">
        <x:v>0</x:v>
      </x:c>
      <x:c r="D15" s="25" t="n">
        <x:v>0</x:v>
      </x:c>
      <x:c r="E15" s="25" t="n">
        <x:f>C15-D15</x:f>
        <x:v>0</x:v>
      </x:c>
      <x:c r="F15" s="26" t="b">
        <x:v>1</x:v>
      </x:c>
      <x:c r="G15" s="80"/>
      <x:c r="H15" s="80"/>
    </x:row>
    <x:row r="16" ht="15" hidden="0" customHeight="1">
      <x:c r="A16" s="27" t="str">
        <x:v>BR</x:v>
      </x:c>
      <x:c r="B16" s="27" t="str">
        <x:v>Drossforge Bridge</x:v>
      </x:c>
      <x:c r="C16" s="27" t="n">
        <x:v>0</x:v>
      </x:c>
      <x:c r="D16" s="27" t="n">
        <x:v>0</x:v>
      </x:c>
      <x:c r="E16" s="27" t="n">
        <x:f>C16-D16</x:f>
        <x:v>0</x:v>
      </x:c>
      <x:c r="F16" s="28" t="b">
        <x:v>1</x:v>
      </x:c>
      <x:c r="G16" s="80"/>
      <x:c r="H16" s="80"/>
    </x:row>
    <x:row r="17" ht="15" hidden="0" customHeight="1">
      <x:c r="A17" s="84" t="str">
        <x:v>Total lands</x:v>
      </x:c>
      <x:c r="B17" s="84"/>
      <x:c r="C17" s="84" t="n">
        <x:f>SUM(C7:C16)</x:f>
        <x:v>19</x:v>
      </x:c>
      <x:c r="D17" s="84" t="n">
        <x:f>SUM(D7:D16)</x:f>
        <x:v>19</x:v>
      </x:c>
      <x:c r="E17" s="84" t="n">
        <x:f>C17-D17</x:f>
        <x:v>0</x:v>
      </x:c>
      <x:c r="F17" s="80"/>
      <x:c r="G17" s="80"/>
      <x:c r="H17" s="80"/>
    </x:row>
    <x:row r="18" ht="15" hidden="0" customHeight="1">
      <x:c r="A18" s="80"/>
      <x:c r="B18" s="80"/>
      <x:c r="C18" s="80"/>
      <x:c r="D18" s="80"/>
      <x:c r="E18" s="80"/>
      <x:c r="F18" s="80"/>
      <x:c r="G18" s="80"/>
      <x:c r="H18" s="80"/>
    </x:row>
    <x:row r="19" ht="15" hidden="0" customHeight="1">
      <x:c r="A19" s="80"/>
      <x:c r="B19" s="80"/>
      <x:c r="C19" s="80"/>
      <x:c r="D19" s="80"/>
      <x:c r="E19" s="80"/>
      <x:c r="F19" s="80"/>
      <x:c r="G19" s="80"/>
      <x:c r="H19" s="80"/>
    </x:row>
    <x:row r="20" ht="15" hidden="0" customHeight="1">
      <x:c r="A20" s="73" t="str">
        <x:v>Moxfield-ready recommendation</x:v>
      </x:c>
      <x:c r="B20" s="80"/>
      <x:c r="C20" s="80"/>
      <x:c r="D20" s="73" t="str">
        <x:v>Effective direct sources</x:v>
      </x:c>
      <x:c r="E20" s="80"/>
      <x:c r="F20" s="80"/>
      <x:c r="G20" s="80"/>
      <x:c r="H20" s="80"/>
    </x:row>
    <x:row r="21" ht="15" hidden="0" customHeight="1">
      <x:c r="A21" s="85" t="str">
        <x:v>4 Ancient Den</x:v>
      </x:c>
      <x:c r="B21" s="80"/>
      <x:c r="C21" s="80"/>
      <x:c r="D21" s="86" t="str">
        <x:v>W</x:v>
      </x:c>
      <x:c r="E21" s="88" t="n">
        <x:v>4</x:v>
      </x:c>
      <x:c r="F21" s="80"/>
      <x:c r="G21" s="80"/>
      <x:c r="H21" s="80"/>
    </x:row>
    <x:row r="22" ht="15" hidden="0" customHeight="1">
      <x:c r="A22" s="85" t="str">
        <x:v>4 Seat of the Synod</x:v>
      </x:c>
      <x:c r="B22" s="80"/>
      <x:c r="C22" s="80"/>
      <x:c r="D22" s="86" t="str">
        <x:v>U</x:v>
      </x:c>
      <x:c r="E22" s="88" t="n">
        <x:v>7</x:v>
      </x:c>
      <x:c r="F22" s="80"/>
      <x:c r="G22" s="80"/>
      <x:c r="H22" s="80"/>
    </x:row>
    <x:row r="23" ht="15" hidden="0" customHeight="1">
      <x:c r="A23" s="85" t="str">
        <x:v>4 Vault of Whispers</x:v>
      </x:c>
      <x:c r="B23" s="80"/>
      <x:c r="C23" s="80"/>
      <x:c r="D23" s="86" t="str">
        <x:v>B</x:v>
      </x:c>
      <x:c r="E23" s="88" t="n">
        <x:v>7</x:v>
      </x:c>
      <x:c r="F23" s="80"/>
      <x:c r="G23" s="80"/>
      <x:c r="H23" s="80"/>
    </x:row>
    <x:row r="24" ht="15" hidden="0" customHeight="1">
      <x:c r="A24" s="85" t="str">
        <x:v>4 Great Furnace</x:v>
      </x:c>
      <x:c r="B24" s="80"/>
      <x:c r="C24" s="80"/>
      <x:c r="D24" s="86" t="str">
        <x:v>R</x:v>
      </x:c>
      <x:c r="E24" s="88" t="n">
        <x:v>4</x:v>
      </x:c>
      <x:c r="F24" s="80"/>
      <x:c r="G24" s="80"/>
      <x:c r="H24" s="80"/>
    </x:row>
    <x:row r="25" ht="15" hidden="0" customHeight="1">
      <x:c r="A25" s="85" t="str">
        <x:v>3 Mistvault Bridge</x:v>
      </x:c>
      <x:c r="B25" s="80"/>
      <x:c r="C25" s="80"/>
      <x:c r="D25" s="80"/>
      <x:c r="E25" s="80"/>
      <x:c r="F25" s="80"/>
      <x:c r="G25" s="80"/>
      <x:c r="H25" s="80"/>
    </x:row>
  </x:sheetData>
  <x:pageMargins left="0.7" right="0.7" top="0.75" bottom="0.75" header="0.3" footer="0.3"/>
  <x:tableParts count="1">
    <x:tablePart xmlns:r="http://schemas.openxmlformats.org/officeDocument/2006/relationships" r:id="Rfa75585f831646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46" hidden="0" customWidth="1"/>
  </x:cols>
  <x:sheetData>
    <x:row r="2" ht="18" hidden="0" customHeight="1">
      <x:c r="A2" s="65" t="str">
        <x:v>Current v1.3 versus optimal</x:v>
      </x:c>
      <x:c r="B2" s="80"/>
      <x:c r="C2" s="80"/>
      <x:c r="D2" s="80"/>
      <x:c r="E2" s="80"/>
      <x:c r="F2" s="80"/>
      <x:c r="G2" s="80"/>
      <x:c r="H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</x:row>
    <x:row r="4" ht="15" hidden="0" customHeight="1">
      <x:c r="A4" s="68" t="str">
        <x:v>Positive castability deltas favor the optimal base; lower failure, delay, and unavailable-mana values are better.</x:v>
      </x:c>
      <x:c r="B4" s="80"/>
      <x:c r="C4" s="80"/>
      <x:c r="D4" s="80"/>
      <x:c r="E4" s="80"/>
      <x:c r="F4" s="80"/>
      <x:c r="G4" s="80"/>
      <x:c r="H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</x:row>
    <x:row r="6" ht="15" hidden="0" customHeight="1">
      <x:c r="A6" s="16" t="str">
        <x:v>Metric</x:v>
      </x:c>
      <x:c r="B6" s="17" t="str">
        <x:v>C0</x:v>
      </x:c>
      <x:c r="C6" s="17" t="str">
        <x:v>Optimal</x:v>
      </x:c>
      <x:c r="D6" s="17" t="str">
        <x:v>Delta</x:v>
      </x:c>
      <x:c r="E6" s="18" t="str">
        <x:v>Note</x:v>
      </x:c>
      <x:c r="F6" s="80"/>
      <x:c r="G6" s="80"/>
      <x:c r="H6" s="80"/>
    </x:row>
    <x:row r="7" ht="15" hidden="0" customHeight="1">
      <x:c r="A7" s="23" t="str">
        <x:v>Untapped lands</x:v>
      </x:c>
      <x:c r="B7" s="36" t="n">
        <x:v>15</x:v>
      </x:c>
      <x:c r="C7" s="36" t="n">
        <x:v>16</x:v>
      </x:c>
      <x:c r="D7" s="36" t="n">
        <x:v>1</x:v>
      </x:c>
      <x:c r="E7" s="23"/>
      <x:c r="F7" s="80"/>
      <x:c r="G7" s="80"/>
      <x:c r="H7" s="80"/>
    </x:row>
    <x:row r="8" ht="15" hidden="0" customHeight="1">
      <x:c r="A8" s="25" t="str">
        <x:v>Tapped lands</x:v>
      </x:c>
      <x:c r="B8" s="37" t="n">
        <x:v>4</x:v>
      </x:c>
      <x:c r="C8" s="37" t="n">
        <x:v>3</x:v>
      </x:c>
      <x:c r="D8" s="37" t="n">
        <x:v>-1</x:v>
      </x:c>
      <x:c r="E8" s="25"/>
      <x:c r="F8" s="80"/>
      <x:c r="G8" s="80"/>
      <x:c r="H8" s="80"/>
    </x:row>
    <x:row r="9" ht="15" hidden="0" customHeight="1">
      <x:c r="A9" s="25" t="str">
        <x:v>W direct sources</x:v>
      </x:c>
      <x:c r="B9" s="37" t="n">
        <x:v>5</x:v>
      </x:c>
      <x:c r="C9" s="37" t="n">
        <x:v>4</x:v>
      </x:c>
      <x:c r="D9" s="37" t="n">
        <x:v>-1</x:v>
      </x:c>
      <x:c r="E9" s="25"/>
      <x:c r="F9" s="80"/>
      <x:c r="G9" s="80"/>
      <x:c r="H9" s="80"/>
    </x:row>
    <x:row r="10" ht="15" hidden="0" customHeight="1">
      <x:c r="A10" s="25" t="str">
        <x:v>U direct sources</x:v>
      </x:c>
      <x:c r="B10" s="37" t="n">
        <x:v>7</x:v>
      </x:c>
      <x:c r="C10" s="37" t="n">
        <x:v>7</x:v>
      </x:c>
      <x:c r="D10" s="37" t="n">
        <x:v>0</x:v>
      </x:c>
      <x:c r="E10" s="25"/>
      <x:c r="F10" s="80"/>
      <x:c r="G10" s="80"/>
      <x:c r="H10" s="80"/>
    </x:row>
    <x:row r="11" ht="15" hidden="0" customHeight="1">
      <x:c r="A11" s="25" t="str">
        <x:v>B direct sources</x:v>
      </x:c>
      <x:c r="B11" s="37" t="n">
        <x:v>7</x:v>
      </x:c>
      <x:c r="C11" s="37" t="n">
        <x:v>7</x:v>
      </x:c>
      <x:c r="D11" s="37" t="n">
        <x:v>0</x:v>
      </x:c>
      <x:c r="E11" s="25"/>
      <x:c r="F11" s="80"/>
      <x:c r="G11" s="80"/>
      <x:c r="H11" s="80"/>
    </x:row>
    <x:row r="12" ht="15" hidden="0" customHeight="1">
      <x:c r="A12" s="25" t="str">
        <x:v>R direct sources</x:v>
      </x:c>
      <x:c r="B12" s="37" t="n">
        <x:v>4</x:v>
      </x:c>
      <x:c r="C12" s="37" t="n">
        <x:v>4</x:v>
      </x:c>
      <x:c r="D12" s="37" t="n">
        <x:v>0</x:v>
      </x:c>
      <x:c r="E12" s="25"/>
      <x:c r="F12" s="80"/>
      <x:c r="G12" s="80"/>
      <x:c r="H12" s="80"/>
    </x:row>
    <x:row r="13" ht="15" hidden="0" customHeight="1">
      <x:c r="A13" s="25" t="str">
        <x:v>Usable W on T1</x:v>
      </x:c>
      <x:c r="B13" s="38" t="n">
        <x:v>0.161209</x:v>
      </x:c>
      <x:c r="C13" s="38" t="n">
        <x:v>0.212686</x:v>
      </x:c>
      <x:c r="D13" s="38" t="n">
        <x:v>0.0514769999999999</x:v>
      </x:c>
      <x:c r="E13" s="25" t="str">
        <x:v>Sequenced, raw direct mana</x:v>
      </x:c>
      <x:c r="F13" s="80"/>
      <x:c r="G13" s="80"/>
      <x:c r="H13" s="80"/>
    </x:row>
    <x:row r="14" ht="15" hidden="0" customHeight="1">
      <x:c r="A14" s="25" t="str">
        <x:v>Usable R on T1</x:v>
      </x:c>
      <x:c r="B14" s="38" t="n">
        <x:v>0.180707</x:v>
      </x:c>
      <x:c r="C14" s="38" t="n">
        <x:v>0.174019</x:v>
      </x:c>
      <x:c r="D14" s="38" t="n">
        <x:v>-0.0066879999999999</x:v>
      </x:c>
      <x:c r="E14" s="25" t="str">
        <x:v>Sequenced, raw direct mana</x:v>
      </x:c>
      <x:c r="F14" s="80"/>
      <x:c r="G14" s="80"/>
      <x:c r="H14" s="80"/>
    </x:row>
    <x:row r="15" ht="15" hidden="0" customHeight="1">
      <x:c r="A15" s="25" t="str">
        <x:v>UB together on T2</x:v>
      </x:c>
      <x:c r="B15" s="38" t="n">
        <x:v>0.249158</x:v>
      </x:c>
      <x:c r="C15" s="38" t="n">
        <x:v>0.243115</x:v>
      </x:c>
      <x:c r="D15" s="38" t="n">
        <x:v>-0.0060429999999999</x:v>
      </x:c>
      <x:c r="E15" s="25" t="str">
        <x:v>Two distinct usable mana</x:v>
      </x:c>
      <x:c r="F15" s="80"/>
      <x:c r="G15" s="80"/>
      <x:c r="H15" s="80"/>
    </x:row>
    <x:row r="16" ht="15" hidden="0" customHeight="1">
      <x:c r="A16" s="25" t="str">
        <x:v>UB together on T3</x:v>
      </x:c>
      <x:c r="B16" s="38" t="n">
        <x:v>0.419562</x:v>
      </x:c>
      <x:c r="C16" s="38" t="n">
        <x:v>0.417353</x:v>
      </x:c>
      <x:c r="D16" s="38" t="n">
        <x:v>-0.002209</x:v>
      </x:c>
      <x:c r="E16" s="25" t="str">
        <x:v>Two distinct usable mana</x:v>
      </x:c>
      <x:c r="F16" s="80"/>
      <x:c r="G16" s="80"/>
      <x:c r="H16" s="80"/>
    </x:row>
    <x:row r="17" ht="15" hidden="0" customHeight="1">
      <x:c r="A17" s="25" t="str">
        <x:v>UB on T2 with Boulder</x:v>
      </x:c>
      <x:c r="B17" s="38" t="n">
        <x:v>0.361349</x:v>
      </x:c>
      <x:c r="C17" s="38" t="n">
        <x:v>0.362847</x:v>
      </x:c>
      <x:c r="D17" s="38" t="n">
        <x:v>0.0014979999999999</x:v>
      </x:c>
      <x:c r="E17" s="25"/>
      <x:c r="F17" s="80"/>
      <x:c r="G17" s="80"/>
      <x:c r="H17" s="80"/>
    </x:row>
    <x:row r="18" ht="15" hidden="0" customHeight="1">
      <x:c r="A18" s="25" t="str">
        <x:v>Expected unavailable mana through T3</x:v>
      </x:c>
      <x:c r="B18" s="39" t="n">
        <x:v>0.545474</x:v>
      </x:c>
      <x:c r="C18" s="39" t="n">
        <x:v>0.418838</x:v>
      </x:c>
      <x:c r="D18" s="39" t="n">
        <x:v>-0.126636</x:v>
      </x:c>
      <x:c r="E18" s="25"/>
      <x:c r="F18" s="80"/>
      <x:c r="G18" s="80"/>
      <x:c r="H18" s="80"/>
    </x:row>
    <x:row r="19" ht="15" hidden="0" customHeight="1">
      <x:c r="A19" s="25" t="str">
        <x:v>Realized spell delay on T2</x:v>
      </x:c>
      <x:c r="B19" s="38" t="n">
        <x:v>0.088308</x:v>
      </x:c>
      <x:c r="C19" s="38" t="n">
        <x:v>0.068269</x:v>
      </x:c>
      <x:c r="D19" s="38" t="n">
        <x:v>-0.020039</x:v>
      </x:c>
      <x:c r="E19" s="25"/>
      <x:c r="F19" s="80"/>
      <x:c r="G19" s="80"/>
      <x:c r="H19" s="80"/>
    </x:row>
    <x:row r="20" ht="15" hidden="0" customHeight="1">
      <x:c r="A20" s="25" t="str">
        <x:v>Realized spell delay on T3</x:v>
      </x:c>
      <x:c r="B20" s="38" t="n">
        <x:v>0.104791</x:v>
      </x:c>
      <x:c r="C20" s="38" t="n">
        <x:v>0.062536</x:v>
      </x:c>
      <x:c r="D20" s="38" t="n">
        <x:v>-0.042255</x:v>
      </x:c>
      <x:c r="E20" s="25"/>
      <x:c r="F20" s="80"/>
      <x:c r="G20" s="80"/>
      <x:c r="H20" s="80"/>
    </x:row>
    <x:row r="21" ht="15" hidden="0" customHeight="1">
      <x:c r="A21" s="25" t="str">
        <x:v>Boulder rescue on T2</x:v>
      </x:c>
      <x:c r="B21" s="38" t="n">
        <x:v>0.219372</x:v>
      </x:c>
      <x:c r="C21" s="38" t="n">
        <x:v>0.221737</x:v>
      </x:c>
      <x:c r="D21" s="38" t="n">
        <x:v>0.0023649999999999</x:v>
      </x:c>
      <x:c r="E21" s="25" t="str">
        <x:v>At least one drawn colored spell newly castable</x:v>
      </x:c>
      <x:c r="F21" s="80"/>
      <x:c r="G21" s="80"/>
      <x:c r="H21" s="80"/>
    </x:row>
    <x:row r="22" ht="15" hidden="0" customHeight="1">
      <x:c r="A22" s="25" t="str">
        <x:v>Boulder rescue on T3</x:v>
      </x:c>
      <x:c r="B22" s="38" t="n">
        <x:v>0.298444</x:v>
      </x:c>
      <x:c r="C22" s="38" t="n">
        <x:v>0.303553</x:v>
      </x:c>
      <x:c r="D22" s="38" t="n">
        <x:v>0.005109</x:v>
      </x:c>
      <x:c r="E22" s="25"/>
      <x:c r="F22" s="80"/>
      <x:c r="G22" s="80"/>
      <x:c r="H22" s="80"/>
    </x:row>
    <x:row r="23" ht="15" hidden="0" customHeight="1">
      <x:c r="A23" s="25" t="str">
        <x:v>Balanced failure cost, raw seven</x:v>
      </x:c>
      <x:c r="B23" s="39" t="n">
        <x:v>17.54690642847666</x:v>
      </x:c>
      <x:c r="C23" s="39" t="n">
        <x:v>16.672107446399995</x:v>
      </x:c>
      <x:c r="D23" s="39" t="n">
        <x:v>-0.8747989820766655</x:v>
      </x:c>
      <x:c r="E23" s="25" t="str">
        <x:v>Lower is better</x:v>
      </x:c>
      <x:c r="F23" s="80"/>
      <x:c r="G23" s="80"/>
      <x:c r="H23" s="80"/>
    </x:row>
    <x:row r="24" ht="15" hidden="0" customHeight="1">
      <x:c r="A24" s="27" t="str">
        <x:v>Balanced failure cost, London</x:v>
      </x:c>
      <x:c r="B24" s="40" t="n">
        <x:v>14.98798932223934</x:v>
      </x:c>
      <x:c r="C24" s="40" t="n">
        <x:v>14.169613941439106</x:v>
      </x:c>
      <x:c r="D24" s="40" t="n">
        <x:v>-0.8183753808002336</x:v>
      </x:c>
      <x:c r="E24" s="27" t="str">
        <x:v>Lower is better</x:v>
      </x:c>
      <x:c r="F24" s="80"/>
      <x:c r="G24" s="80"/>
      <x:c r="H24" s="80"/>
    </x:row>
  </x:sheetData>
  <x:pageMargins left="0.7" right="0.7" top="0.75" bottom="0.75" header="0.3" footer="0.3"/>
  <x:tableParts count="1">
    <x:tablePart xmlns:r="http://schemas.openxmlformats.org/officeDocument/2006/relationships" r:id="Rb155bbeaa6d34cd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9" hidden="0" customWidth="1"/>
    <x:col min="3" max="3" width="12" hidden="0" customWidth="1"/>
    <x:col min="4" max="4" width="14" hidden="0" customWidth="1"/>
    <x:col min="5" max="5" width="15" hidden="0" customWidth="1"/>
    <x:col min="6" max="6" width="13" hidden="0" customWidth="1"/>
    <x:col min="7" max="7" width="13" hidden="0" customWidth="1"/>
    <x:col min="8" max="8" width="12" hidden="0" customWidth="1"/>
    <x:col min="9" max="9" width="17" hidden="0" customWidth="1"/>
    <x:col min="10" max="10" width="19" hidden="0" customWidth="1"/>
    <x:col min="11" max="11" width="14" hidden="0" customWidth="1"/>
    <x:col min="12" max="12" width="17" hidden="0" customWidth="1"/>
    <x:col min="13" max="13" width="38" hidden="0" customWidth="1"/>
  </x:cols>
  <x:sheetData>
    <x:row r="2" ht="18" hidden="0" customHeight="1">
      <x:c r="A2" s="65" t="str">
        <x:v>Spell-level on-time castability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  <x:c r="I3" s="80"/>
      <x:c r="J3" s="80"/>
      <x:c r="K3" s="80"/>
      <x:c r="L3" s="80"/>
      <x:c r="M3" s="80"/>
    </x:row>
    <x:row r="4" ht="15" hidden="0" customHeight="1">
      <x:c r="A4" s="68" t="str">
        <x:v>Conditioned on the spell being drawn by its weighted desired window. Interaction gets conservative opponent-turn Boulder credit.</x:v>
      </x:c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  <x:c r="M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</x:row>
    <x:row r="6" ht="15" hidden="0" customHeight="1">
      <x:c r="A6" s="43" t="str">
        <x:v>Spell</x:v>
      </x:c>
      <x:c r="B6" s="44" t="str">
        <x:v>Copies</x:v>
      </x:c>
      <x:c r="C6" s="44" t="str">
        <x:v>Cost</x:v>
      </x:c>
      <x:c r="D6" s="44" t="str">
        <x:v>Color demand</x:v>
      </x:c>
      <x:c r="E6" s="44" t="str">
        <x:v>Desired window</x:v>
      </x:c>
      <x:c r="F6" s="44" t="str">
        <x:v>C0 raw</x:v>
      </x:c>
      <x:c r="G6" s="44" t="str">
        <x:v>Optimal raw</x:v>
      </x:c>
      <x:c r="H6" s="44" t="str">
        <x:v>Raw delta</x:v>
      </x:c>
      <x:c r="I6" s="44" t="str">
        <x:v>C0 Boulder-adjusted</x:v>
      </x:c>
      <x:c r="J6" s="44" t="str">
        <x:v>Optimal Boulder-adjusted</x:v>
      </x:c>
      <x:c r="K6" s="44" t="str">
        <x:v>Adjusted delta</x:v>
      </x:c>
      <x:c r="L6" s="44" t="str">
        <x:v>Boulder meaningful</x:v>
      </x:c>
      <x:c r="M6" s="45" t="str">
        <x:v>Role / mechanic</x:v>
      </x:c>
    </x:row>
    <x:row r="7" ht="15" hidden="0" customHeight="1">
      <x:c r="A7" s="46" t="str">
        <x:v>Baleful Strix</x:v>
      </x:c>
      <x:c r="B7" s="46" t="n">
        <x:v>3</x:v>
      </x:c>
      <x:c r="C7" s="46" t="str">
        <x:v>{U}{B}</x:v>
      </x:c>
      <x:c r="D7" s="46" t="str">
        <x:v>UB</x:v>
      </x:c>
      <x:c r="E7" s="46" t="str">
        <x:v>2–3</x:v>
      </x:c>
      <x:c r="F7" s="47" t="n">
        <x:v>0.3345292411689745</x:v>
      </x:c>
      <x:c r="G7" s="47" t="n">
        <x:v>0.3330565122478687</x:v>
      </x:c>
      <x:c r="H7" s="47" t="n">
        <x:v>-0.0014727289211057</x:v>
      </x:c>
      <x:c r="I7" s="47" t="n">
        <x:v>0.4630703609420982</x:v>
      </x:c>
      <x:c r="J7" s="47" t="n">
        <x:v>0.4644198319005869</x:v>
      </x:c>
      <x:c r="K7" s="47" t="n">
        <x:v>0.0013494709584886</x:v>
      </x:c>
      <x:c r="L7" s="46" t="str">
        <x:v>Yes</x:v>
      </x:c>
      <x:c r="M7" s="46" t="str">
        <x:v>Artifact creature; two distinct colored mana</x:v>
      </x:c>
    </x:row>
    <x:row r="8" ht="15" hidden="0" customHeight="1">
      <x:c r="A8" s="48" t="str">
        <x:v>Blood Fountain</x:v>
      </x:c>
      <x:c r="B8" s="48" t="n">
        <x:v>1</x:v>
      </x:c>
      <x:c r="C8" s="48" t="str">
        <x:v>{B}</x:v>
      </x:c>
      <x:c r="D8" s="48" t="str">
        <x:v>B</x:v>
      </x:c>
      <x:c r="E8" s="48" t="str">
        <x:v>1–2</x:v>
      </x:c>
      <x:c r="F8" s="49" t="n">
        <x:v>0.3530910925874058</x:v>
      </x:c>
      <x:c r="G8" s="49" t="n">
        <x:v>0.3608722919736474</x:v>
      </x:c>
      <x:c r="H8" s="49" t="n">
        <x:v>0.0077811993862415</x:v>
      </x:c>
      <x:c r="I8" s="49" t="n">
        <x:v>0.3950734926994411</x:v>
      </x:c>
      <x:c r="J8" s="49" t="n">
        <x:v>0.4043057466785197</x:v>
      </x:c>
      <x:c r="K8" s="49" t="n">
        <x:v>0.0092322539790786</x:v>
      </x:c>
      <x:c r="L8" s="48" t="str">
        <x:v>Yes</x:v>
      </x:c>
      <x:c r="M8" s="48" t="str">
        <x:v>One-mana artifact development</x:v>
      </x:c>
    </x:row>
    <x:row r="9" ht="15" hidden="0" customHeight="1">
      <x:c r="A9" s="48" t="str">
        <x:v>Cryogen Relic</x:v>
      </x:c>
      <x:c r="B9" s="48" t="n">
        <x:v>4</x:v>
      </x:c>
      <x:c r="C9" s="48" t="str">
        <x:v>{1}{U}</x:v>
      </x:c>
      <x:c r="D9" s="48" t="str">
        <x:v>U</x:v>
      </x:c>
      <x:c r="E9" s="48" t="str">
        <x:v>2–3</x:v>
      </x:c>
      <x:c r="F9" s="49" t="n">
        <x:v>0.5336683965042258</x:v>
      </x:c>
      <x:c r="G9" s="49" t="n">
        <x:v>0.5432821485780719</x:v>
      </x:c>
      <x:c r="H9" s="49" t="n">
        <x:v>0.009613752073846</x:v>
      </x:c>
      <x:c r="I9" s="49" t="n">
        <x:v>0.610117880900964</x:v>
      </x:c>
      <x:c r="J9" s="49" t="n">
        <x:v>0.626272371779151</x:v>
      </x:c>
      <x:c r="K9" s="49" t="n">
        <x:v>0.0161544908781869</x:v>
      </x:c>
      <x:c r="L9" s="48" t="str">
        <x:v>Yes</x:v>
      </x:c>
      <x:c r="M9" s="48" t="str">
        <x:v>Artifact; draws on entry/exit</x:v>
      </x:c>
    </x:row>
    <x:row r="10" ht="15" hidden="0" customHeight="1">
      <x:c r="A10" s="48" t="str">
        <x:v>Dispatch</x:v>
      </x:c>
      <x:c r="B10" s="48" t="n">
        <x:v>3</x:v>
      </x:c>
      <x:c r="C10" s="48" t="str">
        <x:v>{W}</x:v>
      </x:c>
      <x:c r="D10" s="48" t="str">
        <x:v>W</x:v>
      </x:c>
      <x:c r="E10" s="48" t="str">
        <x:v>1–3</x:v>
      </x:c>
      <x:c r="F10" s="49" t="n">
        <x:v>0.2736151028875648</x:v>
      </x:c>
      <x:c r="G10" s="49" t="n">
        <x:v>0.2818201747810758</x:v>
      </x:c>
      <x:c r="H10" s="49" t="n">
        <x:v>0.0082050718935109</x:v>
      </x:c>
      <x:c r="I10" s="49" t="n">
        <x:v>0.3403478488408087</x:v>
      </x:c>
      <x:c r="J10" s="49" t="n">
        <x:v>0.3460118664951797</x:v>
      </x:c>
      <x:c r="K10" s="49" t="n">
        <x:v>0.0056640176543709</x:v>
      </x:c>
      <x:c r="L10" s="48" t="str">
        <x:v>Yes</x:v>
      </x:c>
      <x:c r="M10" s="48" t="str">
        <x:v>Exile mode also needs Metalcraft</x:v>
      </x:c>
    </x:row>
    <x:row r="11" ht="15" hidden="0" customHeight="1">
      <x:c r="A11" s="48" t="str">
        <x:v>Galvanic Blast</x:v>
      </x:c>
      <x:c r="B11" s="48" t="n">
        <x:v>4</x:v>
      </x:c>
      <x:c r="C11" s="48" t="str">
        <x:v>{R}</x:v>
      </x:c>
      <x:c r="D11" s="48" t="str">
        <x:v>R</x:v>
      </x:c>
      <x:c r="E11" s="48" t="str">
        <x:v>1–2</x:v>
      </x:c>
      <x:c r="F11" s="49" t="n">
        <x:v>0.4110362458598074</x:v>
      </x:c>
      <x:c r="G11" s="49" t="n">
        <x:v>0.4038230647777536</x:v>
      </x:c>
      <x:c r="H11" s="49" t="n">
        <x:v>-0.0072131810820538</x:v>
      </x:c>
      <x:c r="I11" s="49" t="n">
        <x:v>0.46723036904793</x:v>
      </x:c>
      <x:c r="J11" s="49" t="n">
        <x:v>0.461186540706505</x:v>
      </x:c>
      <x:c r="K11" s="49" t="n">
        <x:v>-0.006043828341425</x:v>
      </x:c>
      <x:c r="L11" s="48" t="str">
        <x:v>Yes</x:v>
      </x:c>
      <x:c r="M11" s="48" t="str">
        <x:v>Early instant interaction</x:v>
      </x:c>
    </x:row>
    <x:row r="12" ht="15" hidden="0" customHeight="1">
      <x:c r="A12" s="48" t="str">
        <x:v>Giant's Boulder</x:v>
      </x:c>
      <x:c r="B12" s="48" t="n">
        <x:v>4</x:v>
      </x:c>
      <x:c r="C12" s="48" t="str">
        <x:v>{1}</x:v>
      </x:c>
      <x:c r="D12" s="48" t="str">
        <x:v>—</x:v>
      </x:c>
      <x:c r="E12" s="48" t="str">
        <x:v>1–2</x:v>
      </x:c>
      <x:c r="F12" s="49"/>
      <x:c r="G12" s="49"/>
      <x:c r="H12" s="49"/>
      <x:c r="I12" s="49"/>
      <x:c r="J12" s="49"/>
      <x:c r="K12" s="49"/>
      <x:c r="L12" s="48" t="str">
        <x:v>Not a mandatory colored requirement</x:v>
      </x:c>
      <x:c r="M12" s="48" t="str">
        <x:v>{1},{T}: filter one mana to any color; scry 2 on entry</x:v>
      </x:c>
    </x:row>
    <x:row r="13" ht="15" hidden="0" customHeight="1">
      <x:c r="A13" s="48" t="str">
        <x:v>Glint Hawk</x:v>
      </x:c>
      <x:c r="B13" s="48" t="n">
        <x:v>4</x:v>
      </x:c>
      <x:c r="C13" s="48" t="str">
        <x:v>{W}</x:v>
      </x:c>
      <x:c r="D13" s="48" t="str">
        <x:v>W</x:v>
      </x:c>
      <x:c r="E13" s="48" t="str">
        <x:v>2–3</x:v>
      </x:c>
      <x:c r="F13" s="49" t="n">
        <x:v>0.4491140758138938</x:v>
      </x:c>
      <x:c r="G13" s="49" t="n">
        <x:v>0.4328804440950407</x:v>
      </x:c>
      <x:c r="H13" s="49" t="n">
        <x:v>-0.0162336317188531</x:v>
      </x:c>
      <x:c r="I13" s="49" t="n">
        <x:v>0.6132326245973942</x:v>
      </x:c>
      <x:c r="J13" s="49" t="n">
        <x:v>0.5915775184302203</x:v>
      </x:c>
      <x:c r="K13" s="49" t="n">
        <x:v>-0.0216551061671739</x:v>
      </x:c>
      <x:c r="L13" s="48" t="str">
        <x:v>Yes</x:v>
      </x:c>
      <x:c r="M13" s="48" t="str">
        <x:v>Needs another artifact to return</x:v>
      </x:c>
    </x:row>
    <x:row r="14" ht="15" hidden="0" customHeight="1">
      <x:c r="A14" s="48" t="str">
        <x:v>Makeshift Munitions</x:v>
      </x:c>
      <x:c r="B14" s="48" t="n">
        <x:v>1</x:v>
      </x:c>
      <x:c r="C14" s="48" t="str">
        <x:v>{1}{R}</x:v>
      </x:c>
      <x:c r="D14" s="48" t="str">
        <x:v>R</x:v>
      </x:c>
      <x:c r="E14" s="48" t="str">
        <x:v>3–4</x:v>
      </x:c>
      <x:c r="F14" s="49" t="n">
        <x:v>0.4317158306066007</x:v>
      </x:c>
      <x:c r="G14" s="49" t="n">
        <x:v>0.4324410628547028</x:v>
      </x:c>
      <x:c r="H14" s="49" t="n">
        <x:v>0.0007252322481021</x:v>
      </x:c>
      <x:c r="I14" s="49" t="n">
        <x:v>0.5662856688894295</x:v>
      </x:c>
      <x:c r="J14" s="49" t="n">
        <x:v>0.5702426378220566</x:v>
      </x:c>
      <x:c r="K14" s="49" t="n">
        <x:v>0.003956968932627</x:v>
      </x:c>
      <x:c r="L14" s="48" t="str">
        <x:v>Yes</x:v>
      </x:c>
      <x:c r="M14" s="48" t="str">
        <x:v>Engine; red not normally urgent on T2</x:v>
      </x:c>
    </x:row>
    <x:row r="15" ht="15" hidden="0" customHeight="1">
      <x:c r="A15" s="48" t="str">
        <x:v>Myr Enforcer</x:v>
      </x:c>
      <x:c r="B15" s="48" t="n">
        <x:v>4</x:v>
      </x:c>
      <x:c r="C15" s="48" t="str">
        <x:v>{7}</x:v>
      </x:c>
      <x:c r="D15" s="48" t="str">
        <x:v>—</x:v>
      </x:c>
      <x:c r="E15" s="48" t="str">
        <x:v>2–4</x:v>
      </x:c>
      <x:c r="F15" s="49"/>
      <x:c r="G15" s="49"/>
      <x:c r="H15" s="49"/>
      <x:c r="I15" s="49"/>
      <x:c r="J15" s="49"/>
      <x:c r="K15" s="49"/>
      <x:c r="L15" s="48" t="str">
        <x:v>Not a mandatory colored requirement</x:v>
      </x:c>
      <x:c r="M15" s="48" t="str">
        <x:v>Affinity for artifacts; no color demand</x:v>
      </x:c>
    </x:row>
    <x:row r="16" ht="15" hidden="0" customHeight="1">
      <x:c r="A16" s="48" t="str">
        <x:v>Nihil Spellbomb</x:v>
      </x:c>
      <x:c r="B16" s="48" t="n">
        <x:v>1</x:v>
      </x:c>
      <x:c r="C16" s="48" t="str">
        <x:v>{1}</x:v>
      </x:c>
      <x:c r="D16" s="48" t="str">
        <x:v>optional B</x:v>
      </x:c>
      <x:c r="E16" s="48" t="str">
        <x:v>1–4</x:v>
      </x:c>
      <x:c r="F16" s="49"/>
      <x:c r="G16" s="49"/>
      <x:c r="H16" s="49"/>
      <x:c r="I16" s="49"/>
      <x:c r="J16" s="49"/>
      <x:c r="K16" s="49"/>
      <x:c r="L16" s="48" t="str">
        <x:v>Not a mandatory colored requirement</x:v>
      </x:c>
      <x:c r="M16" s="48" t="str">
        <x:v>Cast is colorless; B only for draw trigger</x:v>
      </x:c>
    </x:row>
    <x:row r="17" ht="15" hidden="0" customHeight="1">
      <x:c r="A17" s="48" t="str">
        <x:v>Reckoner's Bargain</x:v>
      </x:c>
      <x:c r="B17" s="48" t="n">
        <x:v>3</x:v>
      </x:c>
      <x:c r="C17" s="48" t="str">
        <x:v>{1}{B}</x:v>
      </x:c>
      <x:c r="D17" s="48" t="str">
        <x:v>B</x:v>
      </x:c>
      <x:c r="E17" s="48" t="str">
        <x:v>2–3</x:v>
      </x:c>
      <x:c r="F17" s="49" t="n">
        <x:v>0.5756532370094539</x:v>
      </x:c>
      <x:c r="G17" s="49" t="n">
        <x:v>0.5854448810005214</x:v>
      </x:c>
      <x:c r="H17" s="49" t="n">
        <x:v>0.0097916439910674</x:v>
      </x:c>
      <x:c r="I17" s="49" t="n">
        <x:v>0.6225292853039555</x:v>
      </x:c>
      <x:c r="J17" s="49" t="n">
        <x:v>0.634640949913186</x:v>
      </x:c>
      <x:c r="K17" s="49" t="n">
        <x:v>0.0121116646092305</x:v>
      </x:c>
      <x:c r="L17" s="48" t="str">
        <x:v>Yes</x:v>
      </x:c>
      <x:c r="M17" s="48" t="str">
        <x:v>Instant; usually opponent-turn capable</x:v>
      </x:c>
    </x:row>
    <x:row r="18" ht="15" hidden="0" customHeight="1">
      <x:c r="A18" s="48" t="str">
        <x:v>Refurbished Familiar</x:v>
      </x:c>
      <x:c r="B18" s="48" t="n">
        <x:v>4</x:v>
      </x:c>
      <x:c r="C18" s="48" t="str">
        <x:v>{3}{B}</x:v>
      </x:c>
      <x:c r="D18" s="48" t="str">
        <x:v>B</x:v>
      </x:c>
      <x:c r="E18" s="48" t="str">
        <x:v>2–3</x:v>
      </x:c>
      <x:c r="F18" s="49" t="n">
        <x:v>0.5844690162043211</x:v>
      </x:c>
      <x:c r="G18" s="49" t="n">
        <x:v>0.5912716101736208</x:v>
      </x:c>
      <x:c r="H18" s="49" t="n">
        <x:v>0.0068025939692997</x:v>
      </x:c>
      <x:c r="I18" s="49" t="n">
        <x:v>0.6949638742486087</x:v>
      </x:c>
      <x:c r="J18" s="49" t="n">
        <x:v>0.7039042655783481</x:v>
      </x:c>
      <x:c r="K18" s="49" t="n">
        <x:v>0.0089403913297393</x:v>
      </x:c>
      <x:c r="L18" s="48" t="str">
        <x:v>Yes</x:v>
      </x:c>
      <x:c r="M18" s="48" t="str">
        <x:v>Affinity for artifacts</x:v>
      </x:c>
    </x:row>
    <x:row r="19" ht="15" hidden="0" customHeight="1">
      <x:c r="A19" s="48" t="str">
        <x:v>Thoughtcast</x:v>
      </x:c>
      <x:c r="B19" s="48" t="n">
        <x:v>4</x:v>
      </x:c>
      <x:c r="C19" s="48" t="str">
        <x:v>{4}{U}</x:v>
      </x:c>
      <x:c r="D19" s="48" t="str">
        <x:v>U</x:v>
      </x:c>
      <x:c r="E19" s="48" t="str">
        <x:v>2–3</x:v>
      </x:c>
      <x:c r="F19" s="49" t="n">
        <x:v>0.448135075416685</x:v>
      </x:c>
      <x:c r="G19" s="49" t="n">
        <x:v>0.4517228677668264</x:v>
      </x:c>
      <x:c r="H19" s="49" t="n">
        <x:v>0.0035877923501413</x:v>
      </x:c>
      <x:c r="I19" s="49" t="n">
        <x:v>0.5343675573984898</x:v>
      </x:c>
      <x:c r="J19" s="49" t="n">
        <x:v>0.542966728681743</x:v>
      </x:c>
      <x:c r="K19" s="49" t="n">
        <x:v>0.0085991712832531</x:v>
      </x:c>
      <x:c r="L19" s="48" t="str">
        <x:v>Yes</x:v>
      </x:c>
      <x:c r="M19" s="48" t="str">
        <x:v>Affinity for artifacts</x:v>
      </x:c>
    </x:row>
    <x:row r="20" ht="15" hidden="0" customHeight="1">
      <x:c r="A20" s="50" t="str">
        <x:v>Utrom Monitor</x:v>
      </x:c>
      <x:c r="B20" s="50" t="n">
        <x:v>1</x:v>
      </x:c>
      <x:c r="C20" s="50" t="str">
        <x:v>{4}{U}</x:v>
      </x:c>
      <x:c r="D20" s="50" t="str">
        <x:v>U</x:v>
      </x:c>
      <x:c r="E20" s="50" t="str">
        <x:v>2–4</x:v>
      </x:c>
      <x:c r="F20" s="51" t="n">
        <x:v>0.5446468662011138</x:v>
      </x:c>
      <x:c r="G20" s="51" t="n">
        <x:v>0.5480426935909999</x:v>
      </x:c>
      <x:c r="H20" s="51" t="n">
        <x:v>0.003395827389886</x:v>
      </x:c>
      <x:c r="I20" s="51" t="n">
        <x:v>0.6359292243956289</x:v>
      </x:c>
      <x:c r="J20" s="51" t="n">
        <x:v>0.6423586906637229</x:v>
      </x:c>
      <x:c r="K20" s="51" t="n">
        <x:v>0.0064294662680939</x:v>
      </x:c>
      <x:c r="L20" s="50" t="str">
        <x:v>Yes</x:v>
      </x:c>
      <x:c r="M20" s="50" t="str">
        <x:v>Affinity for artifacts; flying</x:v>
      </x:c>
    </x:row>
  </x:sheetData>
  <x:conditionalFormatting sqref="H7:H20">
    <x:cfRule type="colorScale" priority="1">
      <x:colorScale>
        <x:cfvo type="min"/>
        <x:cfvo type="num" val="0"/>
        <x:cfvo type="max"/>
        <x:color rgb="FFF8B4B4"/>
        <x:color rgb="FFFFFFFF"/>
        <x:color rgb="FFA7D7B4"/>
      </x:colorScale>
    </x:cfRule>
  </x:conditionalFormatting>
  <x:conditionalFormatting sqref="K7:K20">
    <x:cfRule type="colorScale" priority="2">
      <x:colorScale>
        <x:cfvo type="min"/>
        <x:cfvo type="num" val="0"/>
        <x:cfvo type="max"/>
        <x:color rgb="FFF8B4B4"/>
        <x:color rgb="FFFFFFFF"/>
        <x:color rgb="FFA7D7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ab39452319e4c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9" hidden="0" customWidth="1"/>
    <x:col min="4" max="4" width="17" hidden="0" customWidth="1"/>
    <x:col min="5" max="5" width="20" hidden="0" customWidth="1"/>
  </x:cols>
  <x:sheetData>
    <x:row r="2" ht="18" hidden="0" customHeight="1">
      <x:c r="A2" s="65" t="str">
        <x:v>Turn-by-turn color access</x:v>
      </x:c>
      <x:c r="B2" s="80"/>
      <x:c r="C2" s="80"/>
      <x:c r="D2" s="80"/>
      <x:c r="E2" s="80"/>
      <x:c r="F2" s="80"/>
      <x:c r="G2" s="80"/>
      <x:c r="H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</x:row>
    <x:row r="4" ht="15" hidden="0" customHeight="1">
      <x:c r="A4" s="68" t="str">
        <x:v>Raw is direct usable mana after competent sequencing. Boulder-adjusted includes deployed filtering and does not treat Boulder as ramp.</x:v>
      </x:c>
      <x:c r="B4" s="80"/>
      <x:c r="C4" s="80"/>
      <x:c r="D4" s="80"/>
      <x:c r="E4" s="80"/>
      <x:c r="F4" s="80"/>
      <x:c r="G4" s="80"/>
      <x:c r="H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</x:row>
    <x:row r="6" ht="15" hidden="0" customHeight="1">
      <x:c r="A6" s="16" t="str">
        <x:v>Configuration</x:v>
      </x:c>
      <x:c r="B6" s="17" t="str">
        <x:v>Metric</x:v>
      </x:c>
      <x:c r="C6" s="17" t="str">
        <x:v>Turn</x:v>
      </x:c>
      <x:c r="D6" s="17" t="str">
        <x:v>Raw</x:v>
      </x:c>
      <x:c r="E6" s="18" t="str">
        <x:v>Boulder-adjusted</x:v>
      </x:c>
      <x:c r="F6" s="80"/>
      <x:c r="G6" s="80"/>
      <x:c r="H6" s="80"/>
    </x:row>
    <x:row r="7" ht="15" hidden="0" customHeight="1">
      <x:c r="A7" s="23" t="str">
        <x:v>C0</x:v>
      </x:c>
      <x:c r="B7" s="23" t="str">
        <x:v>W</x:v>
      </x:c>
      <x:c r="C7" s="23" t="n">
        <x:v>1</x:v>
      </x:c>
      <x:c r="D7" s="41" t="n">
        <x:v>0.161209</x:v>
      </x:c>
      <x:c r="E7" s="41" t="n">
        <x:v>0.161209</x:v>
      </x:c>
      <x:c r="F7" s="80"/>
      <x:c r="G7" s="80"/>
      <x:c r="H7" s="80"/>
    </x:row>
    <x:row r="8" ht="15" hidden="0" customHeight="1">
      <x:c r="A8" s="25" t="str">
        <x:v>C0</x:v>
      </x:c>
      <x:c r="B8" s="25" t="str">
        <x:v>W</x:v>
      </x:c>
      <x:c r="C8" s="25" t="n">
        <x:v>2</x:v>
      </x:c>
      <x:c r="D8" s="38" t="n">
        <x:v>0.341534</x:v>
      </x:c>
      <x:c r="E8" s="38" t="n">
        <x:v>0.525687</x:v>
      </x:c>
      <x:c r="F8" s="80"/>
      <x:c r="G8" s="80"/>
      <x:c r="H8" s="80"/>
    </x:row>
    <x:row r="9" ht="15" hidden="0" customHeight="1">
      <x:c r="A9" s="25" t="str">
        <x:v>C0</x:v>
      </x:c>
      <x:c r="B9" s="25" t="str">
        <x:v>W</x:v>
      </x:c>
      <x:c r="C9" s="25" t="n">
        <x:v>3</x:v>
      </x:c>
      <x:c r="D9" s="38" t="n">
        <x:v>0.487426</x:v>
      </x:c>
      <x:c r="E9" s="38" t="n">
        <x:v>0.687991</x:v>
      </x:c>
      <x:c r="F9" s="80"/>
      <x:c r="G9" s="80"/>
      <x:c r="H9" s="80"/>
    </x:row>
    <x:row r="10" ht="15" hidden="0" customHeight="1">
      <x:c r="A10" s="25" t="str">
        <x:v>C0</x:v>
      </x:c>
      <x:c r="B10" s="25" t="str">
        <x:v>W</x:v>
      </x:c>
      <x:c r="C10" s="25" t="n">
        <x:v>4</x:v>
      </x:c>
      <x:c r="D10" s="38" t="n">
        <x:v>0.60071</x:v>
      </x:c>
      <x:c r="E10" s="38" t="n">
        <x:v>0.771756</x:v>
      </x:c>
      <x:c r="F10" s="80"/>
      <x:c r="G10" s="80"/>
      <x:c r="H10" s="80"/>
    </x:row>
    <x:row r="11" ht="15" hidden="0" customHeight="1">
      <x:c r="A11" s="25" t="str">
        <x:v>C0</x:v>
      </x:c>
      <x:c r="B11" s="25" t="str">
        <x:v>U</x:v>
      </x:c>
      <x:c r="C11" s="25" t="n">
        <x:v>1</x:v>
      </x:c>
      <x:c r="D11" s="38" t="n">
        <x:v>0.195008</x:v>
      </x:c>
      <x:c r="E11" s="38" t="n">
        <x:v>0.195008</x:v>
      </x:c>
      <x:c r="F11" s="80"/>
      <x:c r="G11" s="80"/>
      <x:c r="H11" s="80"/>
    </x:row>
    <x:row r="12" ht="15" hidden="0" customHeight="1">
      <x:c r="A12" s="25" t="str">
        <x:v>C0</x:v>
      </x:c>
      <x:c r="B12" s="25" t="str">
        <x:v>U</x:v>
      </x:c>
      <x:c r="C12" s="25" t="n">
        <x:v>2</x:v>
      </x:c>
      <x:c r="D12" s="38" t="n">
        <x:v>0.573032</x:v>
      </x:c>
      <x:c r="E12" s="38" t="n">
        <x:v>0.708175</x:v>
      </x:c>
      <x:c r="F12" s="80"/>
      <x:c r="G12" s="80"/>
      <x:c r="H12" s="80"/>
    </x:row>
    <x:row r="13" ht="15" hidden="0" customHeight="1">
      <x:c r="A13" s="25" t="str">
        <x:v>C0</x:v>
      </x:c>
      <x:c r="B13" s="25" t="str">
        <x:v>U</x:v>
      </x:c>
      <x:c r="C13" s="25" t="n">
        <x:v>3</x:v>
      </x:c>
      <x:c r="D13" s="38" t="n">
        <x:v>0.686586</x:v>
      </x:c>
      <x:c r="E13" s="38" t="n">
        <x:v>0.813353</x:v>
      </x:c>
      <x:c r="F13" s="80"/>
      <x:c r="G13" s="80"/>
      <x:c r="H13" s="80"/>
    </x:row>
    <x:row r="14" ht="15" hidden="0" customHeight="1">
      <x:c r="A14" s="25" t="str">
        <x:v>C0</x:v>
      </x:c>
      <x:c r="B14" s="25" t="str">
        <x:v>U</x:v>
      </x:c>
      <x:c r="C14" s="25" t="n">
        <x:v>4</x:v>
      </x:c>
      <x:c r="D14" s="38" t="n">
        <x:v>0.741714</x:v>
      </x:c>
      <x:c r="E14" s="38" t="n">
        <x:v>0.853718</x:v>
      </x:c>
      <x:c r="F14" s="80"/>
      <x:c r="G14" s="80"/>
      <x:c r="H14" s="80"/>
    </x:row>
    <x:row r="15" ht="15" hidden="0" customHeight="1">
      <x:c r="A15" s="25" t="str">
        <x:v>C0</x:v>
      </x:c>
      <x:c r="B15" s="25" t="str">
        <x:v>B</x:v>
      </x:c>
      <x:c r="C15" s="25" t="n">
        <x:v>1</x:v>
      </x:c>
      <x:c r="D15" s="38" t="n">
        <x:v>0.125605</x:v>
      </x:c>
      <x:c r="E15" s="38" t="n">
        <x:v>0.125605</x:v>
      </x:c>
      <x:c r="F15" s="80"/>
      <x:c r="G15" s="80"/>
      <x:c r="H15" s="80"/>
    </x:row>
    <x:row r="16" ht="15" hidden="0" customHeight="1">
      <x:c r="A16" s="25" t="str">
        <x:v>C0</x:v>
      </x:c>
      <x:c r="B16" s="25" t="str">
        <x:v>B</x:v>
      </x:c>
      <x:c r="C16" s="25" t="n">
        <x:v>2</x:v>
      </x:c>
      <x:c r="D16" s="38" t="n">
        <x:v>0.546894</x:v>
      </x:c>
      <x:c r="E16" s="38" t="n">
        <x:v>0.696029</x:v>
      </x:c>
      <x:c r="F16" s="80"/>
      <x:c r="G16" s="80"/>
      <x:c r="H16" s="80"/>
    </x:row>
    <x:row r="17" ht="15" hidden="0" customHeight="1">
      <x:c r="A17" s="25" t="str">
        <x:v>C0</x:v>
      </x:c>
      <x:c r="B17" s="25" t="str">
        <x:v>B</x:v>
      </x:c>
      <x:c r="C17" s="25" t="n">
        <x:v>3</x:v>
      </x:c>
      <x:c r="D17" s="38" t="n">
        <x:v>0.681819</x:v>
      </x:c>
      <x:c r="E17" s="38" t="n">
        <x:v>0.811305</x:v>
      </x:c>
      <x:c r="F17" s="80"/>
      <x:c r="G17" s="80"/>
      <x:c r="H17" s="80"/>
    </x:row>
    <x:row r="18" ht="15" hidden="0" customHeight="1">
      <x:c r="A18" s="25" t="str">
        <x:v>C0</x:v>
      </x:c>
      <x:c r="B18" s="25" t="str">
        <x:v>B</x:v>
      </x:c>
      <x:c r="C18" s="25" t="n">
        <x:v>4</x:v>
      </x:c>
      <x:c r="D18" s="38" t="n">
        <x:v>0.742324</x:v>
      </x:c>
      <x:c r="E18" s="38" t="n">
        <x:v>0.854457</x:v>
      </x:c>
      <x:c r="F18" s="80"/>
      <x:c r="G18" s="80"/>
      <x:c r="H18" s="80"/>
    </x:row>
    <x:row r="19" ht="15" hidden="0" customHeight="1">
      <x:c r="A19" s="25" t="str">
        <x:v>C0</x:v>
      </x:c>
      <x:c r="B19" s="25" t="str">
        <x:v>R</x:v>
      </x:c>
      <x:c r="C19" s="25" t="n">
        <x:v>1</x:v>
      </x:c>
      <x:c r="D19" s="38" t="n">
        <x:v>0.180707</x:v>
      </x:c>
      <x:c r="E19" s="38" t="n">
        <x:v>0.180707</x:v>
      </x:c>
      <x:c r="F19" s="80"/>
      <x:c r="G19" s="80"/>
      <x:c r="H19" s="80"/>
    </x:row>
    <x:row r="20" ht="15" hidden="0" customHeight="1">
      <x:c r="A20" s="25" t="str">
        <x:v>C0</x:v>
      </x:c>
      <x:c r="B20" s="25" t="str">
        <x:v>R</x:v>
      </x:c>
      <x:c r="C20" s="25" t="n">
        <x:v>2</x:v>
      </x:c>
      <x:c r="D20" s="38" t="n">
        <x:v>0.332409</x:v>
      </x:c>
      <x:c r="E20" s="38" t="n">
        <x:v>0.49269</x:v>
      </x:c>
      <x:c r="F20" s="80"/>
      <x:c r="G20" s="80"/>
      <x:c r="H20" s="80"/>
    </x:row>
    <x:row r="21" ht="15" hidden="0" customHeight="1">
      <x:c r="A21" s="25" t="str">
        <x:v>C0</x:v>
      </x:c>
      <x:c r="B21" s="25" t="str">
        <x:v>R</x:v>
      </x:c>
      <x:c r="C21" s="25" t="n">
        <x:v>3</x:v>
      </x:c>
      <x:c r="D21" s="38" t="n">
        <x:v>0.484129</x:v>
      </x:c>
      <x:c r="E21" s="38" t="n">
        <x:v>0.676136</x:v>
      </x:c>
      <x:c r="F21" s="80"/>
      <x:c r="G21" s="80"/>
      <x:c r="H21" s="80"/>
    </x:row>
    <x:row r="22" ht="15" hidden="0" customHeight="1">
      <x:c r="A22" s="25" t="str">
        <x:v>C0</x:v>
      </x:c>
      <x:c r="B22" s="25" t="str">
        <x:v>R</x:v>
      </x:c>
      <x:c r="C22" s="25" t="n">
        <x:v>4</x:v>
      </x:c>
      <x:c r="D22" s="38" t="n">
        <x:v>0.546949</x:v>
      </x:c>
      <x:c r="E22" s="38" t="n">
        <x:v>0.737728</x:v>
      </x:c>
      <x:c r="F22" s="80"/>
      <x:c r="G22" s="80"/>
      <x:c r="H22" s="80"/>
    </x:row>
    <x:row r="23" ht="15" hidden="0" customHeight="1">
      <x:c r="A23" s="25" t="str">
        <x:v>C0</x:v>
      </x:c>
      <x:c r="B23" s="25" t="str">
        <x:v>WU</x:v>
      </x:c>
      <x:c r="C23" s="25" t="n">
        <x:v>1</x:v>
      </x:c>
      <x:c r="D23" s="38" t="n">
        <x:v>0</x:v>
      </x:c>
      <x:c r="E23" s="38" t="n">
        <x:v>0</x:v>
      </x:c>
      <x:c r="F23" s="80"/>
      <x:c r="G23" s="80"/>
      <x:c r="H23" s="80"/>
    </x:row>
    <x:row r="24" ht="15" hidden="0" customHeight="1">
      <x:c r="A24" s="25" t="str">
        <x:v>C0</x:v>
      </x:c>
      <x:c r="B24" s="25" t="str">
        <x:v>WU</x:v>
      </x:c>
      <x:c r="C24" s="25" t="n">
        <x:v>2</x:v>
      </x:c>
      <x:c r="D24" s="38" t="n">
        <x:v>0.1108</x:v>
      </x:c>
      <x:c r="E24" s="38" t="n">
        <x:v>0.225097</x:v>
      </x:c>
      <x:c r="F24" s="80"/>
      <x:c r="G24" s="80"/>
      <x:c r="H24" s="80"/>
    </x:row>
    <x:row r="25" ht="15" hidden="0" customHeight="1">
      <x:c r="A25" s="25" t="str">
        <x:v>C0</x:v>
      </x:c>
      <x:c r="B25" s="25" t="str">
        <x:v>WU</x:v>
      </x:c>
      <x:c r="C25" s="25" t="n">
        <x:v>3</x:v>
      </x:c>
      <x:c r="D25" s="38" t="n">
        <x:v>0.281199</x:v>
      </x:c>
      <x:c r="E25" s="38" t="n">
        <x:v>0.484474</x:v>
      </x:c>
      <x:c r="F25" s="80"/>
      <x:c r="G25" s="80"/>
      <x:c r="H25" s="80"/>
    </x:row>
    <x:row r="26" ht="15" hidden="0" customHeight="1">
      <x:c r="A26" s="25" t="str">
        <x:v>C0</x:v>
      </x:c>
      <x:c r="B26" s="25" t="str">
        <x:v>WU</x:v>
      </x:c>
      <x:c r="C26" s="25" t="n">
        <x:v>4</x:v>
      </x:c>
      <x:c r="D26" s="38" t="n">
        <x:v>0.422793</x:v>
      </x:c>
      <x:c r="E26" s="38" t="n">
        <x:v>0.613734</x:v>
      </x:c>
      <x:c r="F26" s="80"/>
      <x:c r="G26" s="80"/>
      <x:c r="H26" s="80"/>
    </x:row>
    <x:row r="27" ht="15" hidden="0" customHeight="1">
      <x:c r="A27" s="25" t="str">
        <x:v>C0</x:v>
      </x:c>
      <x:c r="B27" s="25" t="str">
        <x:v>WB</x:v>
      </x:c>
      <x:c r="C27" s="25" t="n">
        <x:v>1</x:v>
      </x:c>
      <x:c r="D27" s="38" t="n">
        <x:v>0</x:v>
      </x:c>
      <x:c r="E27" s="38" t="n">
        <x:v>0</x:v>
      </x:c>
      <x:c r="F27" s="80"/>
      <x:c r="G27" s="80"/>
      <x:c r="H27" s="80"/>
    </x:row>
    <x:row r="28" ht="15" hidden="0" customHeight="1">
      <x:c r="A28" s="25" t="str">
        <x:v>C0</x:v>
      </x:c>
      <x:c r="B28" s="25" t="str">
        <x:v>WB</x:v>
      </x:c>
      <x:c r="C28" s="25" t="n">
        <x:v>2</x:v>
      </x:c>
      <x:c r="D28" s="38" t="n">
        <x:v>0.110012</x:v>
      </x:c>
      <x:c r="E28" s="38" t="n">
        <x:v>0.224634</x:v>
      </x:c>
      <x:c r="F28" s="80"/>
      <x:c r="G28" s="80"/>
      <x:c r="H28" s="80"/>
    </x:row>
    <x:row r="29" ht="15" hidden="0" customHeight="1">
      <x:c r="A29" s="25" t="str">
        <x:v>C0</x:v>
      </x:c>
      <x:c r="B29" s="25" t="str">
        <x:v>WB</x:v>
      </x:c>
      <x:c r="C29" s="25" t="n">
        <x:v>3</x:v>
      </x:c>
      <x:c r="D29" s="38" t="n">
        <x:v>0.281482</x:v>
      </x:c>
      <x:c r="E29" s="38" t="n">
        <x:v>0.484967</x:v>
      </x:c>
      <x:c r="F29" s="80"/>
      <x:c r="G29" s="80"/>
      <x:c r="H29" s="80"/>
    </x:row>
    <x:row r="30" ht="15" hidden="0" customHeight="1">
      <x:c r="A30" s="25" t="str">
        <x:v>C0</x:v>
      </x:c>
      <x:c r="B30" s="25" t="str">
        <x:v>WB</x:v>
      </x:c>
      <x:c r="C30" s="25" t="n">
        <x:v>4</x:v>
      </x:c>
      <x:c r="D30" s="38" t="n">
        <x:v>0.422534</x:v>
      </x:c>
      <x:c r="E30" s="38" t="n">
        <x:v>0.61429</x:v>
      </x:c>
      <x:c r="F30" s="80"/>
      <x:c r="G30" s="80"/>
      <x:c r="H30" s="80"/>
    </x:row>
    <x:row r="31" ht="15" hidden="0" customHeight="1">
      <x:c r="A31" s="25" t="str">
        <x:v>C0</x:v>
      </x:c>
      <x:c r="B31" s="25" t="str">
        <x:v>WR</x:v>
      </x:c>
      <x:c r="C31" s="25" t="n">
        <x:v>1</x:v>
      </x:c>
      <x:c r="D31" s="38" t="n">
        <x:v>0</x:v>
      </x:c>
      <x:c r="E31" s="38" t="n">
        <x:v>0</x:v>
      </x:c>
      <x:c r="F31" s="80"/>
      <x:c r="G31" s="80"/>
      <x:c r="H31" s="80"/>
    </x:row>
    <x:row r="32" ht="15" hidden="0" customHeight="1">
      <x:c r="A32" s="25" t="str">
        <x:v>C0</x:v>
      </x:c>
      <x:c r="B32" s="25" t="str">
        <x:v>WR</x:v>
      </x:c>
      <x:c r="C32" s="25" t="n">
        <x:v>2</x:v>
      </x:c>
      <x:c r="D32" s="38" t="n">
        <x:v>0.063762</x:v>
      </x:c>
      <x:c r="E32" s="38" t="n">
        <x:v>0.172813</x:v>
      </x:c>
      <x:c r="F32" s="80"/>
      <x:c r="G32" s="80"/>
      <x:c r="H32" s="80"/>
    </x:row>
    <x:row r="33" ht="15" hidden="0" customHeight="1">
      <x:c r="A33" s="25" t="str">
        <x:v>C0</x:v>
      </x:c>
      <x:c r="B33" s="25" t="str">
        <x:v>WR</x:v>
      </x:c>
      <x:c r="C33" s="25" t="n">
        <x:v>3</x:v>
      </x:c>
      <x:c r="D33" s="38" t="n">
        <x:v>0.187243</x:v>
      </x:c>
      <x:c r="E33" s="38" t="n">
        <x:v>0.40399</x:v>
      </x:c>
      <x:c r="F33" s="80"/>
      <x:c r="G33" s="80"/>
      <x:c r="H33" s="80"/>
    </x:row>
    <x:row r="34" ht="15" hidden="0" customHeight="1">
      <x:c r="A34" s="25" t="str">
        <x:v>C0</x:v>
      </x:c>
      <x:c r="B34" s="25" t="str">
        <x:v>WR</x:v>
      </x:c>
      <x:c r="C34" s="25" t="n">
        <x:v>4</x:v>
      </x:c>
      <x:c r="D34" s="38" t="n">
        <x:v>0.309482</x:v>
      </x:c>
      <x:c r="E34" s="38" t="n">
        <x:v>0.528698</x:v>
      </x:c>
      <x:c r="F34" s="80"/>
      <x:c r="G34" s="80"/>
      <x:c r="H34" s="80"/>
    </x:row>
    <x:row r="35" ht="15" hidden="0" customHeight="1">
      <x:c r="A35" s="25" t="str">
        <x:v>C0</x:v>
      </x:c>
      <x:c r="B35" s="25" t="str">
        <x:v>UB</x:v>
      </x:c>
      <x:c r="C35" s="25" t="n">
        <x:v>1</x:v>
      </x:c>
      <x:c r="D35" s="38" t="n">
        <x:v>0</x:v>
      </x:c>
      <x:c r="E35" s="38" t="n">
        <x:v>0</x:v>
      </x:c>
      <x:c r="F35" s="80"/>
      <x:c r="G35" s="80"/>
      <x:c r="H35" s="80"/>
    </x:row>
    <x:row r="36" ht="15" hidden="0" customHeight="1">
      <x:c r="A36" s="25" t="str">
        <x:v>C0</x:v>
      </x:c>
      <x:c r="B36" s="25" t="str">
        <x:v>UB</x:v>
      </x:c>
      <x:c r="C36" s="25" t="n">
        <x:v>2</x:v>
      </x:c>
      <x:c r="D36" s="38" t="n">
        <x:v>0.249158</x:v>
      </x:c>
      <x:c r="E36" s="38" t="n">
        <x:v>0.361349</x:v>
      </x:c>
      <x:c r="F36" s="80"/>
      <x:c r="G36" s="80"/>
      <x:c r="H36" s="80"/>
    </x:row>
    <x:row r="37" ht="15" hidden="0" customHeight="1">
      <x:c r="A37" s="25" t="str">
        <x:v>C0</x:v>
      </x:c>
      <x:c r="B37" s="25" t="str">
        <x:v>UB</x:v>
      </x:c>
      <x:c r="C37" s="25" t="n">
        <x:v>3</x:v>
      </x:c>
      <x:c r="D37" s="38" t="n">
        <x:v>0.419562</x:v>
      </x:c>
      <x:c r="E37" s="38" t="n">
        <x:v>0.585959</x:v>
      </x:c>
      <x:c r="F37" s="80"/>
      <x:c r="G37" s="80"/>
      <x:c r="H37" s="80"/>
    </x:row>
    <x:row r="38" ht="15" hidden="0" customHeight="1">
      <x:c r="A38" s="25" t="str">
        <x:v>C0</x:v>
      </x:c>
      <x:c r="B38" s="25" t="str">
        <x:v>UB</x:v>
      </x:c>
      <x:c r="C38" s="25" t="n">
        <x:v>4</x:v>
      </x:c>
      <x:c r="D38" s="38" t="n">
        <x:v>0.527504</x:v>
      </x:c>
      <x:c r="E38" s="38" t="n">
        <x:v>0.683963</x:v>
      </x:c>
      <x:c r="F38" s="80"/>
      <x:c r="G38" s="80"/>
      <x:c r="H38" s="80"/>
    </x:row>
    <x:row r="39" ht="15" hidden="0" customHeight="1">
      <x:c r="A39" s="25" t="str">
        <x:v>C0</x:v>
      </x:c>
      <x:c r="B39" s="25" t="str">
        <x:v>UR</x:v>
      </x:c>
      <x:c r="C39" s="25" t="n">
        <x:v>1</x:v>
      </x:c>
      <x:c r="D39" s="38" t="n">
        <x:v>0</x:v>
      </x:c>
      <x:c r="E39" s="38" t="n">
        <x:v>0</x:v>
      </x:c>
      <x:c r="F39" s="80"/>
      <x:c r="G39" s="80"/>
      <x:c r="H39" s="80"/>
    </x:row>
    <x:row r="40" ht="15" hidden="0" customHeight="1">
      <x:c r="A40" s="25" t="str">
        <x:v>C0</x:v>
      </x:c>
      <x:c r="B40" s="25" t="str">
        <x:v>UR</x:v>
      </x:c>
      <x:c r="C40" s="25" t="n">
        <x:v>2</x:v>
      </x:c>
      <x:c r="D40" s="38" t="n">
        <x:v>0.125969</x:v>
      </x:c>
      <x:c r="E40" s="38" t="n">
        <x:v>0.242915</x:v>
      </x:c>
      <x:c r="F40" s="80"/>
      <x:c r="G40" s="80"/>
      <x:c r="H40" s="80"/>
    </x:row>
    <x:row r="41" ht="15" hidden="0" customHeight="1">
      <x:c r="A41" s="25" t="str">
        <x:v>C0</x:v>
      </x:c>
      <x:c r="B41" s="25" t="str">
        <x:v>UR</x:v>
      </x:c>
      <x:c r="C41" s="25" t="n">
        <x:v>3</x:v>
      </x:c>
      <x:c r="D41" s="38" t="n">
        <x:v>0.309621</x:v>
      </x:c>
      <x:c r="E41" s="38" t="n">
        <x:v>0.50215</x:v>
      </x:c>
      <x:c r="F41" s="80"/>
      <x:c r="G41" s="80"/>
      <x:c r="H41" s="80"/>
    </x:row>
    <x:row r="42" ht="15" hidden="0" customHeight="1">
      <x:c r="A42" s="25" t="str">
        <x:v>C0</x:v>
      </x:c>
      <x:c r="B42" s="25" t="str">
        <x:v>UR</x:v>
      </x:c>
      <x:c r="C42" s="25" t="n">
        <x:v>4</x:v>
      </x:c>
      <x:c r="D42" s="38" t="n">
        <x:v>0.393516</x:v>
      </x:c>
      <x:c r="E42" s="38" t="n">
        <x:v>0.596022</x:v>
      </x:c>
      <x:c r="F42" s="80"/>
      <x:c r="G42" s="80"/>
      <x:c r="H42" s="80"/>
    </x:row>
    <x:row r="43" ht="15" hidden="0" customHeight="1">
      <x:c r="A43" s="25" t="str">
        <x:v>C0</x:v>
      </x:c>
      <x:c r="B43" s="25" t="str">
        <x:v>BR</x:v>
      </x:c>
      <x:c r="C43" s="25" t="n">
        <x:v>1</x:v>
      </x:c>
      <x:c r="D43" s="38" t="n">
        <x:v>0</x:v>
      </x:c>
      <x:c r="E43" s="38" t="n">
        <x:v>0</x:v>
      </x:c>
      <x:c r="F43" s="80"/>
      <x:c r="G43" s="80"/>
      <x:c r="H43" s="80"/>
    </x:row>
    <x:row r="44" ht="15" hidden="0" customHeight="1">
      <x:c r="A44" s="25" t="str">
        <x:v>C0</x:v>
      </x:c>
      <x:c r="B44" s="25" t="str">
        <x:v>BR</x:v>
      </x:c>
      <x:c r="C44" s="25" t="n">
        <x:v>2</x:v>
      </x:c>
      <x:c r="D44" s="38" t="n">
        <x:v>0.117315</x:v>
      </x:c>
      <x:c r="E44" s="38" t="n">
        <x:v>0.233678</x:v>
      </x:c>
      <x:c r="F44" s="80"/>
      <x:c r="G44" s="80"/>
      <x:c r="H44" s="80"/>
    </x:row>
    <x:row r="45" ht="15" hidden="0" customHeight="1">
      <x:c r="A45" s="25" t="str">
        <x:v>C0</x:v>
      </x:c>
      <x:c r="B45" s="25" t="str">
        <x:v>BR</x:v>
      </x:c>
      <x:c r="C45" s="25" t="n">
        <x:v>3</x:v>
      </x:c>
      <x:c r="D45" s="38" t="n">
        <x:v>0.306021</x:v>
      </x:c>
      <x:c r="E45" s="38" t="n">
        <x:v>0.499505</x:v>
      </x:c>
      <x:c r="F45" s="80"/>
      <x:c r="G45" s="80"/>
      <x:c r="H45" s="80"/>
    </x:row>
    <x:row r="46" ht="15" hidden="0" customHeight="1">
      <x:c r="A46" s="25" t="str">
        <x:v>C0</x:v>
      </x:c>
      <x:c r="B46" s="25" t="str">
        <x:v>BR</x:v>
      </x:c>
      <x:c r="C46" s="25" t="n">
        <x:v>4</x:v>
      </x:c>
      <x:c r="D46" s="38" t="n">
        <x:v>0.393782</x:v>
      </x:c>
      <x:c r="E46" s="38" t="n">
        <x:v>0.596564</x:v>
      </x:c>
      <x:c r="F46" s="80"/>
      <x:c r="G46" s="80"/>
      <x:c r="H46" s="80"/>
    </x:row>
    <x:row r="47" ht="15" hidden="0" customHeight="1">
      <x:c r="A47" s="25" t="str">
        <x:v>Optimal</x:v>
      </x:c>
      <x:c r="B47" s="25" t="str">
        <x:v>W</x:v>
      </x:c>
      <x:c r="C47" s="25" t="n">
        <x:v>1</x:v>
      </x:c>
      <x:c r="D47" s="38" t="n">
        <x:v>0.212686</x:v>
      </x:c>
      <x:c r="E47" s="38" t="n">
        <x:v>0.212686</x:v>
      </x:c>
      <x:c r="F47" s="80"/>
      <x:c r="G47" s="80"/>
      <x:c r="H47" s="80"/>
    </x:row>
    <x:row r="48" ht="15" hidden="0" customHeight="1">
      <x:c r="A48" s="25" t="str">
        <x:v>Optimal</x:v>
      </x:c>
      <x:c r="B48" s="25" t="str">
        <x:v>W</x:v>
      </x:c>
      <x:c r="C48" s="25" t="n">
        <x:v>2</x:v>
      </x:c>
      <x:c r="D48" s="38" t="n">
        <x:v>0.326087</x:v>
      </x:c>
      <x:c r="E48" s="38" t="n">
        <x:v>0.491295</x:v>
      </x:c>
      <x:c r="F48" s="80"/>
      <x:c r="G48" s="80"/>
      <x:c r="H48" s="80"/>
    </x:row>
    <x:row r="49" ht="15" hidden="0" customHeight="1">
      <x:c r="A49" s="25" t="str">
        <x:v>Optimal</x:v>
      </x:c>
      <x:c r="B49" s="25" t="str">
        <x:v>W</x:v>
      </x:c>
      <x:c r="C49" s="25" t="n">
        <x:v>3</x:v>
      </x:c>
      <x:c r="D49" s="38" t="n">
        <x:v>0.456866</x:v>
      </x:c>
      <x:c r="E49" s="38" t="n">
        <x:v>0.661586</x:v>
      </x:c>
      <x:c r="F49" s="80"/>
      <x:c r="G49" s="80"/>
      <x:c r="H49" s="80"/>
    </x:row>
    <x:row r="50" ht="15" hidden="0" customHeight="1">
      <x:c r="A50" s="25" t="str">
        <x:v>Optimal</x:v>
      </x:c>
      <x:c r="B50" s="25" t="str">
        <x:v>W</x:v>
      </x:c>
      <x:c r="C50" s="25" t="n">
        <x:v>4</x:v>
      </x:c>
      <x:c r="D50" s="38" t="n">
        <x:v>0.545623</x:v>
      </x:c>
      <x:c r="E50" s="38" t="n">
        <x:v>0.737215</x:v>
      </x:c>
      <x:c r="F50" s="80"/>
      <x:c r="G50" s="80"/>
      <x:c r="H50" s="80"/>
    </x:row>
    <x:row r="51" ht="15" hidden="0" customHeight="1">
      <x:c r="A51" s="25" t="str">
        <x:v>Optimal</x:v>
      </x:c>
      <x:c r="B51" s="25" t="str">
        <x:v>U</x:v>
      </x:c>
      <x:c r="C51" s="25" t="n">
        <x:v>1</x:v>
      </x:c>
      <x:c r="D51" s="38" t="n">
        <x:v>0.185324</x:v>
      </x:c>
      <x:c r="E51" s="38" t="n">
        <x:v>0.185324</x:v>
      </x:c>
      <x:c r="F51" s="80"/>
      <x:c r="G51" s="80"/>
      <x:c r="H51" s="80"/>
    </x:row>
    <x:row r="52" ht="15" hidden="0" customHeight="1">
      <x:c r="A52" s="25" t="str">
        <x:v>Optimal</x:v>
      </x:c>
      <x:c r="B52" s="25" t="str">
        <x:v>U</x:v>
      </x:c>
      <x:c r="C52" s="25" t="n">
        <x:v>2</x:v>
      </x:c>
      <x:c r="D52" s="38" t="n">
        <x:v>0.567061</x:v>
      </x:c>
      <x:c r="E52" s="38" t="n">
        <x:v>0.71134</x:v>
      </x:c>
      <x:c r="F52" s="80"/>
      <x:c r="G52" s="80"/>
      <x:c r="H52" s="80"/>
    </x:row>
    <x:row r="53" ht="15" hidden="0" customHeight="1">
      <x:c r="A53" s="25" t="str">
        <x:v>Optimal</x:v>
      </x:c>
      <x:c r="B53" s="25" t="str">
        <x:v>U</x:v>
      </x:c>
      <x:c r="C53" s="25" t="n">
        <x:v>3</x:v>
      </x:c>
      <x:c r="D53" s="38" t="n">
        <x:v>0.68786</x:v>
      </x:c>
      <x:c r="E53" s="38" t="n">
        <x:v>0.817059</x:v>
      </x:c>
      <x:c r="F53" s="80"/>
      <x:c r="G53" s="80"/>
      <x:c r="H53" s="80"/>
    </x:row>
    <x:row r="54" ht="15" hidden="0" customHeight="1">
      <x:c r="A54" s="25" t="str">
        <x:v>Optimal</x:v>
      </x:c>
      <x:c r="B54" s="25" t="str">
        <x:v>U</x:v>
      </x:c>
      <x:c r="C54" s="25" t="n">
        <x:v>4</x:v>
      </x:c>
      <x:c r="D54" s="38" t="n">
        <x:v>0.742645</x:v>
      </x:c>
      <x:c r="E54" s="38" t="n">
        <x:v>0.855628</x:v>
      </x:c>
      <x:c r="F54" s="80"/>
      <x:c r="G54" s="80"/>
      <x:c r="H54" s="80"/>
    </x:row>
    <x:row r="55" ht="15" hidden="0" customHeight="1">
      <x:c r="A55" s="25" t="str">
        <x:v>Optimal</x:v>
      </x:c>
      <x:c r="B55" s="25" t="str">
        <x:v>B</x:v>
      </x:c>
      <x:c r="C55" s="25" t="n">
        <x:v>1</x:v>
      </x:c>
      <x:c r="D55" s="38" t="n">
        <x:v>0.126089</x:v>
      </x:c>
      <x:c r="E55" s="38" t="n">
        <x:v>0.126089</x:v>
      </x:c>
      <x:c r="F55" s="80"/>
      <x:c r="G55" s="80"/>
      <x:c r="H55" s="80"/>
    </x:row>
    <x:row r="56" ht="15" hidden="0" customHeight="1">
      <x:c r="A56" s="25" t="str">
        <x:v>Optimal</x:v>
      </x:c>
      <x:c r="B56" s="25" t="str">
        <x:v>B</x:v>
      </x:c>
      <x:c r="C56" s="25" t="n">
        <x:v>2</x:v>
      </x:c>
      <x:c r="D56" s="38" t="n">
        <x:v>0.55184</x:v>
      </x:c>
      <x:c r="E56" s="38" t="n">
        <x:v>0.706996</x:v>
      </x:c>
      <x:c r="F56" s="80"/>
      <x:c r="G56" s="80"/>
      <x:c r="H56" s="80"/>
    </x:row>
    <x:row r="57" ht="15" hidden="0" customHeight="1">
      <x:c r="A57" s="25" t="str">
        <x:v>Optimal</x:v>
      </x:c>
      <x:c r="B57" s="25" t="str">
        <x:v>B</x:v>
      </x:c>
      <x:c r="C57" s="25" t="n">
        <x:v>3</x:v>
      </x:c>
      <x:c r="D57" s="38" t="n">
        <x:v>0.68602</x:v>
      </x:c>
      <x:c r="E57" s="38" t="n">
        <x:v>0.815985</x:v>
      </x:c>
      <x:c r="F57" s="80"/>
      <x:c r="G57" s="80"/>
      <x:c r="H57" s="80"/>
    </x:row>
    <x:row r="58" ht="15" hidden="0" customHeight="1">
      <x:c r="A58" s="25" t="str">
        <x:v>Optimal</x:v>
      </x:c>
      <x:c r="B58" s="25" t="str">
        <x:v>B</x:v>
      </x:c>
      <x:c r="C58" s="25" t="n">
        <x:v>4</x:v>
      </x:c>
      <x:c r="D58" s="38" t="n">
        <x:v>0.742795</x:v>
      </x:c>
      <x:c r="E58" s="38" t="n">
        <x:v>0.856129</x:v>
      </x:c>
      <x:c r="F58" s="80"/>
      <x:c r="G58" s="80"/>
      <x:c r="H58" s="80"/>
    </x:row>
    <x:row r="59" ht="15" hidden="0" customHeight="1">
      <x:c r="A59" s="25" t="str">
        <x:v>Optimal</x:v>
      </x:c>
      <x:c r="B59" s="25" t="str">
        <x:v>R</x:v>
      </x:c>
      <x:c r="C59" s="25" t="n">
        <x:v>1</x:v>
      </x:c>
      <x:c r="D59" s="38" t="n">
        <x:v>0.174019</x:v>
      </x:c>
      <x:c r="E59" s="38" t="n">
        <x:v>0.174019</x:v>
      </x:c>
      <x:c r="F59" s="80"/>
      <x:c r="G59" s="80"/>
      <x:c r="H59" s="80"/>
    </x:row>
    <x:row r="60" ht="15" hidden="0" customHeight="1">
      <x:c r="A60" s="25" t="str">
        <x:v>Optimal</x:v>
      </x:c>
      <x:c r="B60" s="25" t="str">
        <x:v>R</x:v>
      </x:c>
      <x:c r="C60" s="25" t="n">
        <x:v>2</x:v>
      </x:c>
      <x:c r="D60" s="38" t="n">
        <x:v>0.326619</x:v>
      </x:c>
      <x:c r="E60" s="38" t="n">
        <x:v>0.490296</x:v>
      </x:c>
      <x:c r="F60" s="80"/>
      <x:c r="G60" s="80"/>
      <x:c r="H60" s="80"/>
    </x:row>
    <x:row r="61" ht="15" hidden="0" customHeight="1">
      <x:c r="A61" s="25" t="str">
        <x:v>Optimal</x:v>
      </x:c>
      <x:c r="B61" s="25" t="str">
        <x:v>R</x:v>
      </x:c>
      <x:c r="C61" s="25" t="n">
        <x:v>3</x:v>
      </x:c>
      <x:c r="D61" s="38" t="n">
        <x:v>0.473995</x:v>
      </x:c>
      <x:c r="E61" s="38" t="n">
        <x:v>0.66956</x:v>
      </x:c>
      <x:c r="F61" s="80"/>
      <x:c r="G61" s="80"/>
      <x:c r="H61" s="80"/>
    </x:row>
    <x:row r="62" ht="15" hidden="0" customHeight="1">
      <x:c r="A62" s="25" t="str">
        <x:v>Optimal</x:v>
      </x:c>
      <x:c r="B62" s="25" t="str">
        <x:v>R</x:v>
      </x:c>
      <x:c r="C62" s="25" t="n">
        <x:v>4</x:v>
      </x:c>
      <x:c r="D62" s="38" t="n">
        <x:v>0.546977</x:v>
      </x:c>
      <x:c r="E62" s="38" t="n">
        <x:v>0.738911</x:v>
      </x:c>
      <x:c r="F62" s="80"/>
      <x:c r="G62" s="80"/>
      <x:c r="H62" s="80"/>
    </x:row>
    <x:row r="63" ht="15" hidden="0" customHeight="1">
      <x:c r="A63" s="25" t="str">
        <x:v>Optimal</x:v>
      </x:c>
      <x:c r="B63" s="25" t="str">
        <x:v>WU</x:v>
      </x:c>
      <x:c r="C63" s="25" t="n">
        <x:v>1</x:v>
      </x:c>
      <x:c r="D63" s="38" t="n">
        <x:v>0</x:v>
      </x:c>
      <x:c r="E63" s="38" t="n">
        <x:v>0</x:v>
      </x:c>
      <x:c r="F63" s="80"/>
      <x:c r="G63" s="80"/>
      <x:c r="H63" s="80"/>
    </x:row>
    <x:row r="64" ht="15" hidden="0" customHeight="1">
      <x:c r="A64" s="25" t="str">
        <x:v>Optimal</x:v>
      </x:c>
      <x:c r="B64" s="25" t="str">
        <x:v>WU</x:v>
      </x:c>
      <x:c r="C64" s="25" t="n">
        <x:v>2</x:v>
      </x:c>
      <x:c r="D64" s="38" t="n">
        <x:v>0.118266</x:v>
      </x:c>
      <x:c r="E64" s="38" t="n">
        <x:v>0.238311</x:v>
      </x:c>
      <x:c r="F64" s="80"/>
      <x:c r="G64" s="80"/>
      <x:c r="H64" s="80"/>
    </x:row>
    <x:row r="65" ht="15" hidden="0" customHeight="1">
      <x:c r="A65" s="25" t="str">
        <x:v>Optimal</x:v>
      </x:c>
      <x:c r="B65" s="25" t="str">
        <x:v>WU</x:v>
      </x:c>
      <x:c r="C65" s="25" t="n">
        <x:v>3</x:v>
      </x:c>
      <x:c r="D65" s="38" t="n">
        <x:v>0.28337</x:v>
      </x:c>
      <x:c r="E65" s="38" t="n">
        <x:v>0.48874</x:v>
      </x:c>
      <x:c r="F65" s="80"/>
      <x:c r="G65" s="80"/>
      <x:c r="H65" s="80"/>
    </x:row>
    <x:row r="66" ht="15" hidden="0" customHeight="1">
      <x:c r="A66" s="25" t="str">
        <x:v>Optimal</x:v>
      </x:c>
      <x:c r="B66" s="25" t="str">
        <x:v>WU</x:v>
      </x:c>
      <x:c r="C66" s="25" t="n">
        <x:v>4</x:v>
      </x:c>
      <x:c r="D66" s="38" t="n">
        <x:v>0.392742</x:v>
      </x:c>
      <x:c r="E66" s="38" t="n">
        <x:v>0.59642</x:v>
      </x:c>
      <x:c r="F66" s="80"/>
      <x:c r="G66" s="80"/>
      <x:c r="H66" s="80"/>
    </x:row>
    <x:row r="67" ht="15" hidden="0" customHeight="1">
      <x:c r="A67" s="25" t="str">
        <x:v>Optimal</x:v>
      </x:c>
      <x:c r="B67" s="25" t="str">
        <x:v>WB</x:v>
      </x:c>
      <x:c r="C67" s="25" t="n">
        <x:v>1</x:v>
      </x:c>
      <x:c r="D67" s="38" t="n">
        <x:v>0</x:v>
      </x:c>
      <x:c r="E67" s="38" t="n">
        <x:v>0</x:v>
      </x:c>
      <x:c r="F67" s="80"/>
      <x:c r="G67" s="80"/>
      <x:c r="H67" s="80"/>
    </x:row>
    <x:row r="68" ht="15" hidden="0" customHeight="1">
      <x:c r="A68" s="25" t="str">
        <x:v>Optimal</x:v>
      </x:c>
      <x:c r="B68" s="25" t="str">
        <x:v>WB</x:v>
      </x:c>
      <x:c r="C68" s="25" t="n">
        <x:v>2</x:v>
      </x:c>
      <x:c r="D68" s="38" t="n">
        <x:v>0.107791</x:v>
      </x:c>
      <x:c r="E68" s="38" t="n">
        <x:v>0.229764</x:v>
      </x:c>
      <x:c r="F68" s="80"/>
      <x:c r="G68" s="80"/>
      <x:c r="H68" s="80"/>
    </x:row>
    <x:row r="69" ht="15" hidden="0" customHeight="1">
      <x:c r="A69" s="25" t="str">
        <x:v>Optimal</x:v>
      </x:c>
      <x:c r="B69" s="25" t="str">
        <x:v>WB</x:v>
      </x:c>
      <x:c r="C69" s="25" t="n">
        <x:v>3</x:v>
      </x:c>
      <x:c r="D69" s="38" t="n">
        <x:v>0.281674</x:v>
      </x:c>
      <x:c r="E69" s="38" t="n">
        <x:v>0.48752</x:v>
      </x:c>
      <x:c r="F69" s="80"/>
      <x:c r="G69" s="80"/>
      <x:c r="H69" s="80"/>
    </x:row>
    <x:row r="70" ht="15" hidden="0" customHeight="1">
      <x:c r="A70" s="25" t="str">
        <x:v>Optimal</x:v>
      </x:c>
      <x:c r="B70" s="25" t="str">
        <x:v>WB</x:v>
      </x:c>
      <x:c r="C70" s="25" t="n">
        <x:v>4</x:v>
      </x:c>
      <x:c r="D70" s="38" t="n">
        <x:v>0.392847</x:v>
      </x:c>
      <x:c r="E70" s="38" t="n">
        <x:v>0.59669</x:v>
      </x:c>
      <x:c r="F70" s="80"/>
      <x:c r="G70" s="80"/>
      <x:c r="H70" s="80"/>
    </x:row>
    <x:row r="71" ht="15" hidden="0" customHeight="1">
      <x:c r="A71" s="25" t="str">
        <x:v>Optimal</x:v>
      </x:c>
      <x:c r="B71" s="25" t="str">
        <x:v>WR</x:v>
      </x:c>
      <x:c r="C71" s="25" t="n">
        <x:v>1</x:v>
      </x:c>
      <x:c r="D71" s="38" t="n">
        <x:v>0</x:v>
      </x:c>
      <x:c r="E71" s="38" t="n">
        <x:v>0</x:v>
      </x:c>
      <x:c r="F71" s="80"/>
      <x:c r="G71" s="80"/>
      <x:c r="H71" s="80"/>
    </x:row>
    <x:row r="72" ht="15" hidden="0" customHeight="1">
      <x:c r="A72" s="25" t="str">
        <x:v>Optimal</x:v>
      </x:c>
      <x:c r="B72" s="25" t="str">
        <x:v>WR</x:v>
      </x:c>
      <x:c r="C72" s="25" t="n">
        <x:v>2</x:v>
      </x:c>
      <x:c r="D72" s="38" t="n">
        <x:v>0.05964</x:v>
      </x:c>
      <x:c r="E72" s="38" t="n">
        <x:v>0.17914</x:v>
      </x:c>
      <x:c r="F72" s="80"/>
      <x:c r="G72" s="80"/>
      <x:c r="H72" s="80"/>
    </x:row>
    <x:row r="73" ht="15" hidden="0" customHeight="1">
      <x:c r="A73" s="25" t="str">
        <x:v>Optimal</x:v>
      </x:c>
      <x:c r="B73" s="25" t="str">
        <x:v>WR</x:v>
      </x:c>
      <x:c r="C73" s="25" t="n">
        <x:v>3</x:v>
      </x:c>
      <x:c r="D73" s="38" t="n">
        <x:v>0.161095</x:v>
      </x:c>
      <x:c r="E73" s="38" t="n">
        <x:v>0.38308</x:v>
      </x:c>
      <x:c r="F73" s="80"/>
      <x:c r="G73" s="80"/>
      <x:c r="H73" s="80"/>
    </x:row>
    <x:row r="74" ht="15" hidden="0" customHeight="1">
      <x:c r="A74" s="25" t="str">
        <x:v>Optimal</x:v>
      </x:c>
      <x:c r="B74" s="25" t="str">
        <x:v>WR</x:v>
      </x:c>
      <x:c r="C74" s="25" t="n">
        <x:v>4</x:v>
      </x:c>
      <x:c r="D74" s="38" t="n">
        <x:v>0.28646</x:v>
      </x:c>
      <x:c r="E74" s="38" t="n">
        <x:v>0.505308</x:v>
      </x:c>
      <x:c r="F74" s="80"/>
      <x:c r="G74" s="80"/>
      <x:c r="H74" s="80"/>
    </x:row>
    <x:row r="75" ht="15" hidden="0" customHeight="1">
      <x:c r="A75" s="25" t="str">
        <x:v>Optimal</x:v>
      </x:c>
      <x:c r="B75" s="25" t="str">
        <x:v>UB</x:v>
      </x:c>
      <x:c r="C75" s="25" t="n">
        <x:v>1</x:v>
      </x:c>
      <x:c r="D75" s="38" t="n">
        <x:v>0</x:v>
      </x:c>
      <x:c r="E75" s="38" t="n">
        <x:v>0</x:v>
      </x:c>
      <x:c r="F75" s="80"/>
      <x:c r="G75" s="80"/>
      <x:c r="H75" s="80"/>
    </x:row>
    <x:row r="76" ht="15" hidden="0" customHeight="1">
      <x:c r="A76" s="25" t="str">
        <x:v>Optimal</x:v>
      </x:c>
      <x:c r="B76" s="25" t="str">
        <x:v>UB</x:v>
      </x:c>
      <x:c r="C76" s="25" t="n">
        <x:v>2</x:v>
      </x:c>
      <x:c r="D76" s="38" t="n">
        <x:v>0.243115</x:v>
      </x:c>
      <x:c r="E76" s="38" t="n">
        <x:v>0.362847</x:v>
      </x:c>
      <x:c r="F76" s="80"/>
      <x:c r="G76" s="80"/>
      <x:c r="H76" s="80"/>
    </x:row>
    <x:row r="77" ht="15" hidden="0" customHeight="1">
      <x:c r="A77" s="25" t="str">
        <x:v>Optimal</x:v>
      </x:c>
      <x:c r="B77" s="25" t="str">
        <x:v>UB</x:v>
      </x:c>
      <x:c r="C77" s="25" t="n">
        <x:v>3</x:v>
      </x:c>
      <x:c r="D77" s="38" t="n">
        <x:v>0.417353</x:v>
      </x:c>
      <x:c r="E77" s="38" t="n">
        <x:v>0.580869</x:v>
      </x:c>
      <x:c r="F77" s="80"/>
      <x:c r="G77" s="80"/>
      <x:c r="H77" s="80"/>
    </x:row>
    <x:row r="78" ht="15" hidden="0" customHeight="1">
      <x:c r="A78" s="25" t="str">
        <x:v>Optimal</x:v>
      </x:c>
      <x:c r="B78" s="25" t="str">
        <x:v>UB</x:v>
      </x:c>
      <x:c r="C78" s="25" t="n">
        <x:v>4</x:v>
      </x:c>
      <x:c r="D78" s="38" t="n">
        <x:v>0.515928</x:v>
      </x:c>
      <x:c r="E78" s="38" t="n">
        <x:v>0.672238</x:v>
      </x:c>
      <x:c r="F78" s="80"/>
      <x:c r="G78" s="80"/>
      <x:c r="H78" s="80"/>
    </x:row>
    <x:row r="79" ht="15" hidden="0" customHeight="1">
      <x:c r="A79" s="25" t="str">
        <x:v>Optimal</x:v>
      </x:c>
      <x:c r="B79" s="25" t="str">
        <x:v>UR</x:v>
      </x:c>
      <x:c r="C79" s="25" t="n">
        <x:v>1</x:v>
      </x:c>
      <x:c r="D79" s="38" t="n">
        <x:v>0</x:v>
      </x:c>
      <x:c r="E79" s="38" t="n">
        <x:v>0</x:v>
      </x:c>
      <x:c r="F79" s="80"/>
      <x:c r="G79" s="80"/>
      <x:c r="H79" s="80"/>
    </x:row>
    <x:row r="80" ht="15" hidden="0" customHeight="1">
      <x:c r="A80" s="25" t="str">
        <x:v>Optimal</x:v>
      </x:c>
      <x:c r="B80" s="25" t="str">
        <x:v>UR</x:v>
      </x:c>
      <x:c r="C80" s="25" t="n">
        <x:v>2</x:v>
      </x:c>
      <x:c r="D80" s="38" t="n">
        <x:v>0.128462</x:v>
      </x:c>
      <x:c r="E80" s="38" t="n">
        <x:v>0.250409</x:v>
      </x:c>
      <x:c r="F80" s="80"/>
      <x:c r="G80" s="80"/>
      <x:c r="H80" s="80"/>
    </x:row>
    <x:row r="81" ht="15" hidden="0" customHeight="1">
      <x:c r="A81" s="25" t="str">
        <x:v>Optimal</x:v>
      </x:c>
      <x:c r="B81" s="25" t="str">
        <x:v>UR</x:v>
      </x:c>
      <x:c r="C81" s="25" t="n">
        <x:v>3</x:v>
      </x:c>
      <x:c r="D81" s="38" t="n">
        <x:v>0.300885</x:v>
      </x:c>
      <x:c r="E81" s="38" t="n">
        <x:v>0.496037</x:v>
      </x:c>
      <x:c r="F81" s="80"/>
      <x:c r="G81" s="80"/>
      <x:c r="H81" s="80"/>
    </x:row>
    <x:row r="82" ht="15" hidden="0" customHeight="1">
      <x:c r="A82" s="25" t="str">
        <x:v>Optimal</x:v>
      </x:c>
      <x:c r="B82" s="25" t="str">
        <x:v>UR</x:v>
      </x:c>
      <x:c r="C82" s="25" t="n">
        <x:v>4</x:v>
      </x:c>
      <x:c r="D82" s="38" t="n">
        <x:v>0.39432</x:v>
      </x:c>
      <x:c r="E82" s="38" t="n">
        <x:v>0.598213</x:v>
      </x:c>
      <x:c r="F82" s="80"/>
      <x:c r="G82" s="80"/>
      <x:c r="H82" s="80"/>
    </x:row>
    <x:row r="83" ht="15" hidden="0" customHeight="1">
      <x:c r="A83" s="25" t="str">
        <x:v>Optimal</x:v>
      </x:c>
      <x:c r="B83" s="25" t="str">
        <x:v>BR</x:v>
      </x:c>
      <x:c r="C83" s="25" t="n">
        <x:v>1</x:v>
      </x:c>
      <x:c r="D83" s="38" t="n">
        <x:v>0</x:v>
      </x:c>
      <x:c r="E83" s="38" t="n">
        <x:v>0</x:v>
      </x:c>
      <x:c r="F83" s="80"/>
      <x:c r="G83" s="80"/>
      <x:c r="H83" s="80"/>
    </x:row>
    <x:row r="84" ht="15" hidden="0" customHeight="1">
      <x:c r="A84" s="25" t="str">
        <x:v>Optimal</x:v>
      </x:c>
      <x:c r="B84" s="25" t="str">
        <x:v>BR</x:v>
      </x:c>
      <x:c r="C84" s="25" t="n">
        <x:v>2</x:v>
      </x:c>
      <x:c r="D84" s="38" t="n">
        <x:v>0.121124</x:v>
      </x:c>
      <x:c r="E84" s="38" t="n">
        <x:v>0.241131</x:v>
      </x:c>
      <x:c r="F84" s="80"/>
      <x:c r="G84" s="80"/>
      <x:c r="H84" s="80"/>
    </x:row>
    <x:row r="85" ht="15" hidden="0" customHeight="1">
      <x:c r="A85" s="25" t="str">
        <x:v>Optimal</x:v>
      </x:c>
      <x:c r="B85" s="25" t="str">
        <x:v>BR</x:v>
      </x:c>
      <x:c r="C85" s="25" t="n">
        <x:v>3</x:v>
      </x:c>
      <x:c r="D85" s="38" t="n">
        <x:v>0.298865</x:v>
      </x:c>
      <x:c r="E85" s="38" t="n">
        <x:v>0.494781</x:v>
      </x:c>
      <x:c r="F85" s="80"/>
      <x:c r="G85" s="80"/>
      <x:c r="H85" s="80"/>
    </x:row>
    <x:row r="86" ht="15" hidden="0" customHeight="1">
      <x:c r="A86" s="27" t="str">
        <x:v>Optimal</x:v>
      </x:c>
      <x:c r="B86" s="27" t="str">
        <x:v>BR</x:v>
      </x:c>
      <x:c r="C86" s="27" t="n">
        <x:v>4</x:v>
      </x:c>
      <x:c r="D86" s="42" t="n">
        <x:v>0.393932</x:v>
      </x:c>
      <x:c r="E86" s="42" t="n">
        <x:v>0.598217</x:v>
      </x:c>
      <x:c r="F86" s="80"/>
      <x:c r="G86" s="80"/>
      <x:c r="H86" s="80"/>
    </x:row>
  </x:sheetData>
  <x:pageMargins left="0.7" right="0.7" top="0.75" bottom="0.75" header="0.3" footer="0.3"/>
  <x:tableParts count="1">
    <x:tablePart xmlns:r="http://schemas.openxmlformats.org/officeDocument/2006/relationships" r:id="Rdaed228988cd4f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0" hidden="0" customWidth="1"/>
    <x:col min="4" max="4" width="22" hidden="0" customWidth="1"/>
    <x:col min="5" max="5" width="19" hidden="0" customWidth="1"/>
    <x:col min="6" max="6" width="19" hidden="0" customWidth="1"/>
    <x:col min="7" max="7" width="25" hidden="0" customWidth="1"/>
    <x:col min="8" max="8" width="14" hidden="0" customWidth="1"/>
  </x:cols>
  <x:sheetData>
    <x:row r="2" ht="18" hidden="0" customHeight="1">
      <x:c r="A2" s="65" t="str">
        <x:v>Tapland cost frontier</x:v>
      </x:c>
      <x:c r="B2" s="80"/>
      <x:c r="C2" s="80"/>
      <x:c r="D2" s="80"/>
      <x:c r="E2" s="80"/>
      <x:c r="F2" s="80"/>
      <x:c r="G2" s="80"/>
      <x:c r="H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</x:row>
    <x:row r="4" ht="15" hidden="0" customHeight="1">
      <x:c r="A4" s="68" t="str">
        <x:v>Zero to two tapped lands are illegal because each of the four mono lands is capped at four copies; the legal minimum is three.</x:v>
      </x:c>
      <x:c r="B4" s="80"/>
      <x:c r="C4" s="80"/>
      <x:c r="D4" s="80"/>
      <x:c r="E4" s="80"/>
      <x:c r="F4" s="80"/>
      <x:c r="G4" s="80"/>
      <x:c r="H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</x:row>
    <x:row r="6" ht="15" hidden="0" customHeight="1">
      <x:c r="A6" s="73" t="str">
        <x:v>Opening-hand structure by tapland count</x:v>
      </x:c>
      <x:c r="B6" s="80"/>
      <x:c r="C6" s="80"/>
      <x:c r="D6" s="80"/>
      <x:c r="E6" s="80"/>
      <x:c r="F6" s="80"/>
      <x:c r="G6" s="80"/>
      <x:c r="H6" s="80"/>
    </x:row>
    <x:row r="7" ht="24" hidden="0" customHeight="1">
      <x:c r="A7" s="16" t="str">
        <x:v>Tapped duals</x:v>
      </x:c>
      <x:c r="B7" s="17" t="str">
        <x:v>Legal under constraints</x:v>
      </x:c>
      <x:c r="C7" s="17" t="str">
        <x:v>Untapped monos</x:v>
      </x:c>
      <x:c r="D7" s="17" t="str">
        <x:v>Expected tapped lands in opening 7</x:v>
      </x:c>
      <x:c r="E7" s="17" t="str">
        <x:v>P(no untapped land in opening 7)</x:v>
      </x:c>
      <x:c r="F7" s="17" t="str">
        <x:v>P(only land is tapped)</x:v>
      </x:c>
      <x:c r="G7" s="17" t="str">
        <x:v>P(two-land opener: both tapped)</x:v>
      </x:c>
      <x:c r="H7" s="18" t="str">
        <x:v>P(no lands)</x:v>
      </x:c>
    </x:row>
    <x:row r="8" ht="15" hidden="0" customHeight="1">
      <x:c r="A8" s="23" t="n">
        <x:v>0</x:v>
      </x:c>
      <x:c r="B8" s="24" t="b">
        <x:v>0</x:v>
      </x:c>
      <x:c r="C8" s="23" t="n">
        <x:v>19</x:v>
      </x:c>
      <x:c r="D8" s="52" t="n">
        <x:v>0</x:v>
      </x:c>
      <x:c r="E8" s="41" t="n">
        <x:v>0.0582121625371187</x:v>
      </x:c>
      <x:c r="F8" s="41" t="n">
        <x:v>0</x:v>
      </x:c>
      <x:c r="G8" s="41" t="n">
        <x:v>0</x:v>
      </x:c>
      <x:c r="H8" s="41" t="n">
        <x:v>0.0582121625371187</x:v>
      </x:c>
    </x:row>
    <x:row r="9" ht="15" hidden="0" customHeight="1">
      <x:c r="A9" s="25" t="n">
        <x:v>1</x:v>
      </x:c>
      <x:c r="B9" s="26" t="b">
        <x:v>0</x:v>
      </x:c>
      <x:c r="C9" s="25" t="n">
        <x:v>18</x:v>
      </x:c>
      <x:c r="D9" s="39" t="n">
        <x:v>0.1166666666666666</x:v>
      </x:c>
      <x:c r="E9" s="38" t="n">
        <x:v>0.0698545950445424</x:v>
      </x:c>
      <x:c r="F9" s="38" t="n">
        <x:v>0.0116424325074237</x:v>
      </x:c>
      <x:c r="G9" s="38" t="n">
        <x:v>0</x:v>
      </x:c>
      <x:c r="H9" s="38" t="n">
        <x:v>0.0582121625371187</x:v>
      </x:c>
    </x:row>
    <x:row r="10" ht="15" hidden="0" customHeight="1">
      <x:c r="A10" s="25" t="n">
        <x:v>2</x:v>
      </x:c>
      <x:c r="B10" s="26" t="b">
        <x:v>0</x:v>
      </x:c>
      <x:c r="C10" s="25" t="n">
        <x:v>17</x:v>
      </x:c>
      <x:c r="D10" s="39" t="n">
        <x:v>0.2333333333333333</x:v>
      </x:c>
      <x:c r="E10" s="38" t="n">
        <x:v>0.0834374329698701</x:v>
      </x:c>
      <x:c r="F10" s="38" t="n">
        <x:v>0.0232848650148474</x:v>
      </x:c>
      <x:c r="G10" s="38" t="n">
        <x:v>0.0058479532163742</x:v>
      </x:c>
      <x:c r="H10" s="38" t="n">
        <x:v>0.0582121625371187</x:v>
      </x:c>
    </x:row>
    <x:row r="11" ht="15" hidden="0" customHeight="1">
      <x:c r="A11" s="25" t="n">
        <x:v>3</x:v>
      </x:c>
      <x:c r="B11" s="26" t="b">
        <x:v>1</x:v>
      </x:c>
      <x:c r="C11" s="25" t="n">
        <x:v>16</x:v>
      </x:c>
      <x:c r="D11" s="39" t="n">
        <x:v>0.35</x:v>
      </x:c>
      <x:c r="E11" s="38" t="n">
        <x:v>0.0992228932614672</x:v>
      </x:c>
      <x:c r="F11" s="38" t="n">
        <x:v>0.0349272975222712</x:v>
      </x:c>
      <x:c r="G11" s="38" t="n">
        <x:v>0.0175438596491228</x:v>
      </x:c>
      <x:c r="H11" s="38" t="n">
        <x:v>0.0582121625371187</x:v>
      </x:c>
    </x:row>
    <x:row r="12" ht="15" hidden="0" customHeight="1">
      <x:c r="A12" s="25" t="n">
        <x:v>4</x:v>
      </x:c>
      <x:c r="B12" s="26" t="b">
        <x:v>1</x:v>
      </x:c>
      <x:c r="C12" s="25" t="n">
        <x:v>15</x:v>
      </x:c>
      <x:c r="D12" s="39" t="n">
        <x:v>0.4666666666666667</x:v>
      </x:c>
      <x:c r="E12" s="38" t="n">
        <x:v>0.1175007946517374</x:v>
      </x:c>
      <x:c r="F12" s="38" t="n">
        <x:v>0.0465697300296949</x:v>
      </x:c>
      <x:c r="G12" s="38" t="n">
        <x:v>0.0350877192982456</x:v>
      </x:c>
      <x:c r="H12" s="38" t="n">
        <x:v>0.0582121625371187</x:v>
      </x:c>
    </x:row>
    <x:row r="13" ht="15" hidden="0" customHeight="1">
      <x:c r="A13" s="25" t="n">
        <x:v>5</x:v>
      </x:c>
      <x:c r="B13" s="26" t="b">
        <x:v>1</x:v>
      </x:c>
      <x:c r="C13" s="25" t="n">
        <x:v>14</x:v>
      </x:c>
      <x:c r="D13" s="39" t="n">
        <x:v>0.5833333333333334</x:v>
      </x:c>
      <x:c r="E13" s="38" t="n">
        <x:v>0.1385906808712801</x:v>
      </x:c>
      <x:c r="F13" s="38" t="n">
        <x:v>0.0582121625371187</x:v>
      </x:c>
      <x:c r="G13" s="38" t="n">
        <x:v>0.0584795321637426</x:v>
      </x:c>
      <x:c r="H13" s="38" t="n">
        <x:v>0.0582121625371187</x:v>
      </x:c>
    </x:row>
    <x:row r="14" ht="15" hidden="0" customHeight="1">
      <x:c r="A14" s="25" t="n">
        <x:v>6</x:v>
      </x:c>
      <x:c r="B14" s="26" t="b">
        <x:v>1</x:v>
      </x:c>
      <x:c r="C14" s="25" t="n">
        <x:v>13</x:v>
      </x:c>
      <x:c r="D14" s="39" t="n">
        <x:v>0.7</x:v>
      </x:c>
      <x:c r="E14" s="38" t="n">
        <x:v>0.1628440500237541</x:v>
      </x:c>
      <x:c r="F14" s="38" t="n">
        <x:v>0.0698545950445424</x:v>
      </x:c>
      <x:c r="G14" s="38" t="n">
        <x:v>0.087719298245614</x:v>
      </x:c>
      <x:c r="H14" s="38" t="n">
        <x:v>0.0582121625371187</x:v>
      </x:c>
    </x:row>
    <x:row r="15" ht="15" hidden="0" customHeight="1">
      <x:c r="A15" s="25" t="n">
        <x:v>7</x:v>
      </x:c>
      <x:c r="B15" s="26" t="b">
        <x:v>1</x:v>
      </x:c>
      <x:c r="C15" s="25" t="n">
        <x:v>12</x:v>
      </x:c>
      <x:c r="D15" s="39" t="n">
        <x:v>0.8166666666666667</x:v>
      </x:c>
      <x:c r="E15" s="38" t="n">
        <x:v>0.1906466927107365</x:v>
      </x:c>
      <x:c r="F15" s="38" t="n">
        <x:v>0.0814970275519661</x:v>
      </x:c>
      <x:c r="G15" s="38" t="n">
        <x:v>0.1228070175438596</x:v>
      </x:c>
      <x:c r="H15" s="38" t="n">
        <x:v>0.0582121625371187</x:v>
      </x:c>
    </x:row>
    <x:row r="16" ht="15" hidden="0" customHeight="1">
      <x:c r="A16" s="27" t="n">
        <x:v>8</x:v>
      </x:c>
      <x:c r="B16" s="28" t="b">
        <x:v>1</x:v>
      </x:c>
      <x:c r="C16" s="27" t="n">
        <x:v>11</x:v>
      </x:c>
      <x:c r="D16" s="40" t="n">
        <x:v>0.9333333333333332</x:v>
      </x:c>
      <x:c r="E16" s="42" t="n">
        <x:v>0.2224211414958592</x:v>
      </x:c>
      <x:c r="F16" s="42" t="n">
        <x:v>0.0931394600593899</x:v>
      </x:c>
      <x:c r="G16" s="42" t="n">
        <x:v>0.1637426900584795</x:v>
      </x:c>
      <x:c r="H16" s="42" t="n">
        <x:v>0.0582121625371187</x:v>
      </x:c>
    </x:row>
    <x:row r="17" ht="15" hidden="0" customHeight="1">
      <x:c r="A17" s="80"/>
      <x:c r="B17" s="80"/>
      <x:c r="C17" s="80"/>
      <x:c r="D17" s="80"/>
      <x:c r="E17" s="80"/>
      <x:c r="F17" s="80"/>
      <x:c r="G17" s="80"/>
      <x:c r="H17" s="80"/>
    </x:row>
    <x:row r="18" ht="15" hidden="0" customHeight="1">
      <x:c r="A18" s="80"/>
      <x:c r="B18" s="80"/>
      <x:c r="C18" s="80"/>
      <x:c r="D18" s="80"/>
      <x:c r="E18" s="80"/>
      <x:c r="F18" s="80"/>
      <x:c r="G18" s="80"/>
      <x:c r="H18" s="80"/>
    </x:row>
    <x:row r="19" ht="15" hidden="0" customHeight="1">
      <x:c r="A19" s="73" t="str">
        <x:v>Best simulated configuration by legal tapland count</x:v>
      </x:c>
      <x:c r="B19" s="80"/>
      <x:c r="C19" s="80"/>
      <x:c r="D19" s="80"/>
      <x:c r="E19" s="80"/>
      <x:c r="F19" s="80"/>
      <x:c r="G19" s="80"/>
      <x:c r="H19" s="80"/>
    </x:row>
    <x:row r="20" ht="15" hidden="0" customHeight="1">
      <x:c r="A20" s="16" t="str">
        <x:v>Tapped duals</x:v>
      </x:c>
      <x:c r="B20" s="17" t="str">
        <x:v>Best simulated configuration</x:v>
      </x:c>
      <x:c r="C20" s="17" t="str">
        <x:v>Balanced failure cost</x:v>
      </x:c>
      <x:c r="D20" s="17" t="str">
        <x:v>Unavailable mana through T3</x:v>
      </x:c>
      <x:c r="E20" s="17" t="str">
        <x:v>T2 realized delay</x:v>
      </x:c>
      <x:c r="F20" s="18" t="str">
        <x:v>T3 realized delay</x:v>
      </x:c>
      <x:c r="G20" s="80"/>
      <x:c r="H20" s="80"/>
    </x:row>
    <x:row r="21" ht="15" hidden="0" customHeight="1">
      <x:c r="A21" s="23" t="n">
        <x:v>3</x:v>
      </x:c>
      <x:c r="B21" s="23" t="str">
        <x:v>W4 U4 B4 R4 UB3</x:v>
      </x:c>
      <x:c r="C21" s="52" t="n">
        <x:v>16.66219846640972</x:v>
      </x:c>
      <x:c r="D21" s="52" t="n">
        <x:v>0.417572</x:v>
      </x:c>
      <x:c r="E21" s="41" t="n">
        <x:v>0.068016</x:v>
      </x:c>
      <x:c r="F21" s="41" t="n">
        <x:v>0.06258</x:v>
      </x:c>
      <x:c r="G21" s="80"/>
      <x:c r="H21" s="80"/>
    </x:row>
    <x:row r="22" ht="15" hidden="0" customHeight="1">
      <x:c r="A22" s="25" t="n">
        <x:v>4</x:v>
      </x:c>
      <x:c r="B22" s="25" t="str">
        <x:v>W4 U4 B4 R3 UB4</x:v>
      </x:c>
      <x:c r="C22" s="39" t="n">
        <x:v>17.49798573868562</x:v>
      </x:c>
      <x:c r="D22" s="39" t="n">
        <x:v>0.53932</x:v>
      </x:c>
      <x:c r="E22" s="38" t="n">
        <x:v>0.082656</x:v>
      </x:c>
      <x:c r="F22" s="38" t="n">
        <x:v>0.083588</x:v>
      </x:c>
      <x:c r="G22" s="80"/>
      <x:c r="H22" s="80"/>
    </x:row>
    <x:row r="23" ht="15" hidden="0" customHeight="1">
      <x:c r="A23" s="25" t="n">
        <x:v>5</x:v>
      </x:c>
      <x:c r="B23" s="25" t="str">
        <x:v>W3 U4 B4 R3 WU1 UB4</x:v>
      </x:c>
      <x:c r="C23" s="39" t="n">
        <x:v>18.31955250328025</x:v>
      </x:c>
      <x:c r="D23" s="39" t="n">
        <x:v>0.664384</x:v>
      </x:c>
      <x:c r="E23" s="38" t="n">
        <x:v>0.091924</x:v>
      </x:c>
      <x:c r="F23" s="38" t="n">
        <x:v>0.117032</x:v>
      </x:c>
      <x:c r="G23" s="80"/>
      <x:c r="H23" s="80"/>
    </x:row>
    <x:row r="24" ht="15" hidden="0" customHeight="1">
      <x:c r="A24" s="25" t="n">
        <x:v>6</x:v>
      </x:c>
      <x:c r="B24" s="25" t="str">
        <x:v>W2 U3 B4 R4 WU2 UB4</x:v>
      </x:c>
      <x:c r="C24" s="39" t="n">
        <x:v>19.14234094747055</x:v>
      </x:c>
      <x:c r="D24" s="39" t="n">
        <x:v>0.793564</x:v>
      </x:c>
      <x:c r="E24" s="38" t="n">
        <x:v>0.109712</x:v>
      </x:c>
      <x:c r="F24" s="38" t="n">
        <x:v>0.150788</x:v>
      </x:c>
      <x:c r="G24" s="80"/>
      <x:c r="H24" s="80"/>
    </x:row>
    <x:row r="25" ht="15" hidden="0" customHeight="1">
      <x:c r="A25" s="25" t="n">
        <x:v>7</x:v>
      </x:c>
      <x:c r="B25" s="25" t="str">
        <x:v>Not finalist-simulated</x:v>
      </x:c>
      <x:c r="C25" s="39"/>
      <x:c r="D25" s="39"/>
      <x:c r="E25" s="38"/>
      <x:c r="F25" s="38"/>
      <x:c r="G25" s="80"/>
      <x:c r="H25" s="80"/>
    </x:row>
    <x:row r="26" ht="15" hidden="0" customHeight="1">
      <x:c r="A26" s="27" t="n">
        <x:v>8</x:v>
      </x:c>
      <x:c r="B26" s="27" t="str">
        <x:v>Not finalist-simulated</x:v>
      </x:c>
      <x:c r="C26" s="40"/>
      <x:c r="D26" s="40"/>
      <x:c r="E26" s="42"/>
      <x:c r="F26" s="42"/>
      <x:c r="G26" s="80"/>
      <x:c r="H26" s="80"/>
    </x:row>
  </x:sheetData>
  <x:pageMargins left="0.7" right="0.7" top="0.75" bottom="0.75" header="0.3" footer="0.3"/>
  <x:tableParts count="2">
    <x:tablePart xmlns:r="http://schemas.openxmlformats.org/officeDocument/2006/relationships" r:id="R0ba81164eb914262"/>
    <x:tablePart xmlns:r="http://schemas.openxmlformats.org/officeDocument/2006/relationships" r:id="R36c00df56e004dc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20" hidden="0" customWidth="1"/>
    <x:col min="9" max="9" width="18" hidden="0" customWidth="1"/>
    <x:col min="10" max="10" width="40" hidden="0" customWidth="1"/>
    <x:col min="11" max="11" width="42" hidden="0" customWidth="1"/>
  </x:cols>
  <x:sheetData>
    <x:row r="2" ht="18" hidden="0" customHeight="1">
      <x:c r="A2" s="65" t="str">
        <x:v>Finalist Pareto frontier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  <x:c r="I3" s="80"/>
      <x:c r="J3" s="80"/>
      <x:c r="K3" s="80"/>
    </x:row>
    <x:row r="4" ht="15" hidden="0" customHeight="1">
      <x:c r="A4" s="68" t="str">
        <x:v>Six finalists received 1,000,000 raw-seven simulations and 1,000,000 London-mulligan simulations each.</x:v>
      </x:c>
      <x:c r="B4" s="80"/>
      <x:c r="C4" s="80"/>
      <x:c r="D4" s="80"/>
      <x:c r="E4" s="80"/>
      <x:c r="F4" s="80"/>
      <x:c r="G4" s="80"/>
      <x:c r="H4" s="80"/>
      <x:c r="I4" s="80"/>
      <x:c r="J4" s="80"/>
      <x:c r="K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  <x:c r="I5" s="80"/>
      <x:c r="J5" s="80"/>
      <x:c r="K5" s="80"/>
    </x:row>
    <x:row r="6" ht="15" hidden="0" customHeight="1">
      <x:c r="A6" s="16" t="str">
        <x:v>Configuration</x:v>
      </x:c>
      <x:c r="B6" s="17" t="str">
        <x:v>Untapped</x:v>
      </x:c>
      <x:c r="C6" s="17" t="str">
        <x:v>Tapped</x:v>
      </x:c>
      <x:c r="D6" s="17" t="str">
        <x:v>Source W</x:v>
      </x:c>
      <x:c r="E6" s="17" t="str">
        <x:v>Source U</x:v>
      </x:c>
      <x:c r="F6" s="17" t="str">
        <x:v>Source B</x:v>
      </x:c>
      <x:c r="G6" s="17" t="str">
        <x:v>Source R</x:v>
      </x:c>
      <x:c r="H6" s="17" t="str">
        <x:v>Balanced failure cost</x:v>
      </x:c>
      <x:c r="I6" s="17" t="str">
        <x:v>Regret vs optimum</x:v>
      </x:c>
      <x:c r="J6" s="17" t="str">
        <x:v>Advantage</x:v>
      </x:c>
      <x:c r="K6" s="18" t="str">
        <x:v>Weakness</x:v>
      </x:c>
    </x:row>
    <x:row r="7" ht="15" hidden="0" customHeight="1">
      <x:c r="A7" s="23" t="str">
        <x:v>W4 U4 B4 R4 UB3</x:v>
      </x:c>
      <x:c r="B7" s="23" t="n">
        <x:v>16</x:v>
      </x:c>
      <x:c r="C7" s="23" t="n">
        <x:v>3</x:v>
      </x:c>
      <x:c r="D7" s="23" t="n">
        <x:v>4</x:v>
      </x:c>
      <x:c r="E7" s="23" t="n">
        <x:v>7</x:v>
      </x:c>
      <x:c r="F7" s="23" t="n">
        <x:v>7</x:v>
      </x:c>
      <x:c r="G7" s="23" t="n">
        <x:v>4</x:v>
      </x:c>
      <x:c r="H7" s="52" t="n">
        <x:v>16.672107446399995</x:v>
      </x:c>
      <x:c r="I7" s="52" t="n">
        <x:v>0</x:v>
      </x:c>
      <x:c r="J7" s="23" t="str">
        <x:v>Best UB density with minimum legal taplands</x:v>
      </x:c>
      <x:c r="K7" s="23" t="str">
        <x:v>Only four direct W and R sources</x:v>
      </x:c>
    </x:row>
    <x:row r="8" ht="15" hidden="0" customHeight="1">
      <x:c r="A8" s="25" t="str">
        <x:v>W4 U4 B4 R4 WU1 UB2</x:v>
      </x:c>
      <x:c r="B8" s="25" t="n">
        <x:v>16</x:v>
      </x:c>
      <x:c r="C8" s="25" t="n">
        <x:v>3</x:v>
      </x:c>
      <x:c r="D8" s="25" t="n">
        <x:v>5</x:v>
      </x:c>
      <x:c r="E8" s="25" t="n">
        <x:v>7</x:v>
      </x:c>
      <x:c r="F8" s="25" t="n">
        <x:v>6</x:v>
      </x:c>
      <x:c r="G8" s="25" t="n">
        <x:v>4</x:v>
      </x:c>
      <x:c r="H8" s="39" t="n">
        <x:v>16.743736462616997</x:v>
      </x:c>
      <x:c r="I8" s="39" t="n">
        <x:v>0.0716290162170025</x:v>
      </x:c>
      <x:c r="J8" s="25" t="str">
        <x:v>Adds fifth W source</x:v>
      </x:c>
      <x:c r="K8" s="25" t="str">
        <x:v>Drops B from seven to six</x:v>
      </x:c>
    </x:row>
    <x:row r="9" ht="15" hidden="0" customHeight="1">
      <x:c r="A9" s="25" t="str">
        <x:v>W4 U4 B4 R4 WB1 UB2</x:v>
      </x:c>
      <x:c r="B9" s="25" t="n">
        <x:v>16</x:v>
      </x:c>
      <x:c r="C9" s="25" t="n">
        <x:v>3</x:v>
      </x:c>
      <x:c r="D9" s="25" t="n">
        <x:v>5</x:v>
      </x:c>
      <x:c r="E9" s="25" t="n">
        <x:v>6</x:v>
      </x:c>
      <x:c r="F9" s="25" t="n">
        <x:v>7</x:v>
      </x:c>
      <x:c r="G9" s="25" t="n">
        <x:v>4</x:v>
      </x:c>
      <x:c r="H9" s="39" t="n">
        <x:v>16.773719209123282</x:v>
      </x:c>
      <x:c r="I9" s="39" t="n">
        <x:v>0.1016117627232873</x:v>
      </x:c>
      <x:c r="J9" s="25" t="str">
        <x:v>Adds fifth W source and keeps B7</x:v>
      </x:c>
      <x:c r="K9" s="25" t="str">
        <x:v>Drops U from seven to six</x:v>
      </x:c>
    </x:row>
    <x:row r="10" ht="15" hidden="0" customHeight="1">
      <x:c r="A10" s="25" t="str">
        <x:v>W4 U4 B4 R4 UB2 BR1</x:v>
      </x:c>
      <x:c r="B10" s="25" t="n">
        <x:v>16</x:v>
      </x:c>
      <x:c r="C10" s="25" t="n">
        <x:v>3</x:v>
      </x:c>
      <x:c r="D10" s="25" t="n">
        <x:v>4</x:v>
      </x:c>
      <x:c r="E10" s="25" t="n">
        <x:v>6</x:v>
      </x:c>
      <x:c r="F10" s="25" t="n">
        <x:v>7</x:v>
      </x:c>
      <x:c r="G10" s="25" t="n">
        <x:v>5</x:v>
      </x:c>
      <x:c r="H10" s="39" t="n">
        <x:v>16.7759298844605</x:v>
      </x:c>
      <x:c r="I10" s="39" t="n">
        <x:v>0.1038224380605044</x:v>
      </x:c>
      <x:c r="J10" s="25" t="str">
        <x:v>Adds fifth R source and keeps B7</x:v>
      </x:c>
      <x:c r="K10" s="25" t="str">
        <x:v>Drops U from seven to six</x:v>
      </x:c>
    </x:row>
    <x:row r="11" ht="15" hidden="0" customHeight="1">
      <x:c r="A11" s="25" t="str">
        <x:v>W4 U4 B4 R4 UB2 UR1</x:v>
      </x:c>
      <x:c r="B11" s="25" t="n">
        <x:v>16</x:v>
      </x:c>
      <x:c r="C11" s="25" t="n">
        <x:v>3</x:v>
      </x:c>
      <x:c r="D11" s="25" t="n">
        <x:v>4</x:v>
      </x:c>
      <x:c r="E11" s="25" t="n">
        <x:v>7</x:v>
      </x:c>
      <x:c r="F11" s="25" t="n">
        <x:v>6</x:v>
      </x:c>
      <x:c r="G11" s="25" t="n">
        <x:v>5</x:v>
      </x:c>
      <x:c r="H11" s="39" t="n">
        <x:v>16.79120295207877</x:v>
      </x:c>
      <x:c r="I11" s="39" t="n">
        <x:v>0.119095505678775</x:v>
      </x:c>
      <x:c r="J11" s="25" t="str">
        <x:v>Adds fifth R source and keeps U7</x:v>
      </x:c>
      <x:c r="K11" s="25" t="str">
        <x:v>Drops B from seven to six</x:v>
      </x:c>
    </x:row>
    <x:row r="12" ht="15" hidden="0" customHeight="1">
      <x:c r="A12" s="27" t="str">
        <x:v>W3 U4 B4 R4 WU1 WB1 UB2</x:v>
      </x:c>
      <x:c r="B12" s="27" t="n">
        <x:v>15</x:v>
      </x:c>
      <x:c r="C12" s="27" t="n">
        <x:v>4</x:v>
      </x:c>
      <x:c r="D12" s="27" t="n">
        <x:v>5</x:v>
      </x:c>
      <x:c r="E12" s="27" t="n">
        <x:v>7</x:v>
      </x:c>
      <x:c r="F12" s="27" t="n">
        <x:v>7</x:v>
      </x:c>
      <x:c r="G12" s="27" t="n">
        <x:v>4</x:v>
      </x:c>
      <x:c r="H12" s="40" t="n">
        <x:v>17.54690642847666</x:v>
      </x:c>
      <x:c r="I12" s="40" t="n">
        <x:v>0.8747989820766655</x:v>
      </x:c>
      <x:c r="J12" s="27" t="str">
        <x:v>W5/U7/B7/R4 late coverage</x:v>
      </x:c>
      <x:c r="K12" s="27" t="str">
        <x:v>Fourth tapland and only three untapped W lands</x:v>
      </x:c>
    </x:row>
  </x:sheetData>
  <x:conditionalFormatting sqref="I7:I12">
    <x:cfRule type="dataBar" priority="1">
      <x:dataBar>
        <x:cfvo type="min"/>
        <x:cfvo type="max"/>
        <x:color rgb="FFC76D3A"/>
      </x:dataBar>
      <x:extLst>
        <x:ext xmlns:x14="http://schemas.microsoft.com/office/spreadsheetml/2009/9/main" uri="{B025F937-C7B1-47D3-B67F-A62EFF666E3E}">
          <x14:id>{EB7E2888-91A6-8BB6-6B25-39B7D0ECE80A}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91cc885fdb641c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B7E2888-91A6-8BB6-6B25-39B7D0ECE80A}">
            <x14:dataBar gradient="0">
              <x14:cfvo type="min"/>
              <x14:cfvo type="max"/>
              <x14:fillColor rgb="FFC76D3A"/>
            </x14:dataBar>
          </x14:cfRule>
          <xm:sqref>I7:I12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14" hidden="0" customWidth="1"/>
    <x:col min="5" max="5" width="3" hidden="0" customWidth="1"/>
    <x:col min="6" max="6" width="18" hidden="0" customWidth="1"/>
    <x:col min="7" max="7" width="34" hidden="0" customWidth="1"/>
    <x:col min="8" max="8" width="22" hidden="0" customWidth="1"/>
    <x:col min="9" max="9" width="14" hidden="0" customWidth="1"/>
    <x:col min="10" max="10" width="12" hidden="0" customWidth="1"/>
  </x:cols>
  <x:sheetData>
    <x:row r="2" ht="18" hidden="0" customHeight="1">
      <x:c r="A2" s="65" t="str">
        <x:v>Sensitivity and robustness</x:v>
      </x:c>
      <x:c r="B2" s="80"/>
      <x:c r="C2" s="80"/>
      <x:c r="D2" s="80"/>
      <x:c r="E2" s="80"/>
      <x:c r="F2" s="80"/>
      <x:c r="G2" s="80"/>
      <x:c r="H2" s="80"/>
      <x:c r="I2" s="80"/>
      <x:c r="J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  <x:c r="I3" s="80"/>
      <x:c r="J3" s="80"/>
    </x:row>
    <x:row r="4" ht="15" hidden="0" customHeight="1">
      <x:c r="A4" s="68" t="str">
        <x:v>Regret is the score gap to the winner within each assumption profile. Lower is better.</x:v>
      </x:c>
      <x:c r="B4" s="80"/>
      <x:c r="C4" s="80"/>
      <x:c r="D4" s="80"/>
      <x:c r="E4" s="80"/>
      <x:c r="F4" s="80"/>
      <x:c r="G4" s="80"/>
      <x:c r="H4" s="80"/>
      <x:c r="I4" s="80"/>
      <x:c r="J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  <x:c r="I5" s="80"/>
      <x:c r="J5" s="80"/>
    </x:row>
    <x:row r="6" ht="15" hidden="0" customHeight="1">
      <x:c r="A6" s="16" t="str">
        <x:v>Profile</x:v>
      </x:c>
      <x:c r="B6" s="17" t="str">
        <x:v>Configuration</x:v>
      </x:c>
      <x:c r="C6" s="17" t="str">
        <x:v>Score</x:v>
      </x:c>
      <x:c r="D6" s="18" t="str">
        <x:v>Regret</x:v>
      </x:c>
      <x:c r="E6" s="80"/>
      <x:c r="F6" s="73" t="str">
        <x:v>Play/draw and mulligan checks</x:v>
      </x:c>
      <x:c r="G6" s="80"/>
      <x:c r="H6" s="80"/>
      <x:c r="I6" s="80"/>
      <x:c r="J6" s="80"/>
    </x:row>
    <x:row r="7" ht="15" hidden="0" customHeight="1">
      <x:c r="A7" s="23" t="str">
        <x:v>Balanced</x:v>
      </x:c>
      <x:c r="B7" s="23" t="str">
        <x:v>W4 U4 B4 R4 UB3</x:v>
      </x:c>
      <x:c r="C7" s="52" t="n">
        <x:v>16.67210744639999</x:v>
      </x:c>
      <x:c r="D7" s="52" t="n">
        <x:v>0</x:v>
      </x:c>
      <x:c r="E7" s="80"/>
      <x:c r="F7" s="16" t="str">
        <x:v>Model</x:v>
      </x:c>
      <x:c r="G7" s="17" t="str">
        <x:v>Configuration</x:v>
      </x:c>
      <x:c r="H7" s="17" t="str">
        <x:v>Balanced failure cost</x:v>
      </x:c>
      <x:c r="I7" s="17" t="str">
        <x:v>Regret</x:v>
      </x:c>
      <x:c r="J7" s="18" t="str">
        <x:v>Winner</x:v>
      </x:c>
    </x:row>
    <x:row r="8" ht="15" hidden="0" customHeight="1">
      <x:c r="A8" s="25" t="str">
        <x:v>Balanced</x:v>
      </x:c>
      <x:c r="B8" s="25" t="str">
        <x:v>W4 U4 B4 R4 WU1 UB2</x:v>
      </x:c>
      <x:c r="C8" s="39" t="n">
        <x:v>16.743736462616997</x:v>
      </x:c>
      <x:c r="D8" s="39" t="n">
        <x:v>0.0716290162170061</x:v>
      </x:c>
      <x:c r="E8" s="80"/>
      <x:c r="F8" s="23" t="str">
        <x:v>All play</x:v>
      </x:c>
      <x:c r="G8" s="23" t="str">
        <x:v>W4 U4 B4 R4 UB3</x:v>
      </x:c>
      <x:c r="H8" s="52" t="n">
        <x:v>17.416233848633194</x:v>
      </x:c>
      <x:c r="I8" s="52" t="n">
        <x:v>0</x:v>
      </x:c>
      <x:c r="J8" s="24" t="b">
        <x:v>1</x:v>
      </x:c>
    </x:row>
    <x:row r="9" ht="15" hidden="0" customHeight="1">
      <x:c r="A9" s="25" t="str">
        <x:v>Balanced</x:v>
      </x:c>
      <x:c r="B9" s="25" t="str">
        <x:v>W4 U4 B4 R4 WB1 UB2</x:v>
      </x:c>
      <x:c r="C9" s="39" t="n">
        <x:v>16.77371920912328</x:v>
      </x:c>
      <x:c r="D9" s="39" t="n">
        <x:v>0.1016117627232873</x:v>
      </x:c>
      <x:c r="E9" s="80"/>
      <x:c r="F9" s="25" t="str">
        <x:v>All play</x:v>
      </x:c>
      <x:c r="G9" s="25" t="str">
        <x:v>W4 U4 B4 R4 WU1 UB2</x:v>
      </x:c>
      <x:c r="H9" s="39" t="n">
        <x:v>17.50180228119391</x:v>
      </x:c>
      <x:c r="I9" s="39" t="n">
        <x:v>0.0855684325607164</x:v>
      </x:c>
      <x:c r="J9" s="26" t="b">
        <x:v>0</x:v>
      </x:c>
    </x:row>
    <x:row r="10" ht="15" hidden="0" customHeight="1">
      <x:c r="A10" s="25" t="str">
        <x:v>Balanced</x:v>
      </x:c>
      <x:c r="B10" s="25" t="str">
        <x:v>W4 U4 B4 R4 UB2 BR1</x:v>
      </x:c>
      <x:c r="C10" s="39" t="n">
        <x:v>16.7759298844605</x:v>
      </x:c>
      <x:c r="D10" s="39" t="n">
        <x:v>0.1038224380605079</x:v>
      </x:c>
      <x:c r="E10" s="80"/>
      <x:c r="F10" s="25" t="str">
        <x:v>All play</x:v>
      </x:c>
      <x:c r="G10" s="25" t="str">
        <x:v>W4 U4 B4 R4 UB2 BR1</x:v>
      </x:c>
      <x:c r="H10" s="39" t="n">
        <x:v>17.520148354906112</x:v>
      </x:c>
      <x:c r="I10" s="39" t="n">
        <x:v>0.1039145062729183</x:v>
      </x:c>
      <x:c r="J10" s="26" t="b">
        <x:v>0</x:v>
      </x:c>
    </x:row>
    <x:row r="11" ht="15" hidden="0" customHeight="1">
      <x:c r="A11" s="25" t="str">
        <x:v>Balanced</x:v>
      </x:c>
      <x:c r="B11" s="25" t="str">
        <x:v>W4 U4 B4 R4 UB2 UR1</x:v>
      </x:c>
      <x:c r="C11" s="39" t="n">
        <x:v>16.791202952078766</x:v>
      </x:c>
      <x:c r="D11" s="39" t="n">
        <x:v>0.119095505678775</x:v>
      </x:c>
      <x:c r="E11" s="80"/>
      <x:c r="F11" s="25" t="str">
        <x:v>All play</x:v>
      </x:c>
      <x:c r="G11" s="25" t="str">
        <x:v>W4 U4 B4 R4 WB1 UB2</x:v>
      </x:c>
      <x:c r="H11" s="39" t="n">
        <x:v>17.522017265159953</x:v>
      </x:c>
      <x:c r="I11" s="39" t="n">
        <x:v>0.1057834165267586</x:v>
      </x:c>
      <x:c r="J11" s="26" t="b">
        <x:v>0</x:v>
      </x:c>
    </x:row>
    <x:row r="12" ht="15" hidden="0" customHeight="1">
      <x:c r="A12" s="25" t="str">
        <x:v>Balanced</x:v>
      </x:c>
      <x:c r="B12" s="25" t="str">
        <x:v>W3 U4 B4 R4 WU1 WB1 UB2</x:v>
      </x:c>
      <x:c r="C12" s="39" t="n">
        <x:v>17.54690642847666</x:v>
      </x:c>
      <x:c r="D12" s="39" t="n">
        <x:v>0.8747989820766691</x:v>
      </x:c>
      <x:c r="E12" s="80"/>
      <x:c r="F12" s="25" t="str">
        <x:v>All play</x:v>
      </x:c>
      <x:c r="G12" s="25" t="str">
        <x:v>W4 U4 B4 R4 UB2 UR1</x:v>
      </x:c>
      <x:c r="H12" s="39" t="n">
        <x:v>17.53563386857354</x:v>
      </x:c>
      <x:c r="I12" s="39" t="n">
        <x:v>0.1194000199403468</x:v>
      </x:c>
      <x:c r="J12" s="26" t="b">
        <x:v>0</x:v>
      </x:c>
    </x:row>
    <x:row r="13" ht="15" hidden="0" customHeight="1">
      <x:c r="A13" s="25" t="str">
        <x:v>Black demand +25%</x:v>
      </x:c>
      <x:c r="B13" s="25" t="str">
        <x:v>W4 U4 B4 R4 UB3</x:v>
      </x:c>
      <x:c r="C13" s="39" t="n">
        <x:v>17.68689104162971</x:v>
      </x:c>
      <x:c r="D13" s="39" t="n">
        <x:v>0</x:v>
      </x:c>
      <x:c r="E13" s="80"/>
      <x:c r="F13" s="25" t="str">
        <x:v>All play</x:v>
      </x:c>
      <x:c r="G13" s="25" t="str">
        <x:v>W3 U4 B4 R4 WU1 WB1 UB2</x:v>
      </x:c>
      <x:c r="H13" s="39" t="n">
        <x:v>18.260633409073044</x:v>
      </x:c>
      <x:c r="I13" s="39" t="n">
        <x:v>0.8443995604398502</x:v>
      </x:c>
      <x:c r="J13" s="26" t="b">
        <x:v>0</x:v>
      </x:c>
    </x:row>
    <x:row r="14" ht="15" hidden="0" customHeight="1">
      <x:c r="A14" s="25" t="str">
        <x:v>Black demand +25%</x:v>
      </x:c>
      <x:c r="B14" s="25" t="str">
        <x:v>W4 U4 B4 R4 WB1 UB2</x:v>
      </x:c>
      <x:c r="C14" s="39" t="n">
        <x:v>17.81269685143025</x:v>
      </x:c>
      <x:c r="D14" s="39" t="n">
        <x:v>0.1258058098005392</x:v>
      </x:c>
      <x:c r="E14" s="80"/>
      <x:c r="F14" s="25" t="str">
        <x:v>All draw</x:v>
      </x:c>
      <x:c r="G14" s="25" t="str">
        <x:v>W4 U4 B4 R4 UB3</x:v>
      </x:c>
      <x:c r="H14" s="39" t="n">
        <x:v>15.965763791470843</x:v>
      </x:c>
      <x:c r="I14" s="39" t="n">
        <x:v>0</x:v>
      </x:c>
      <x:c r="J14" s="26" t="b">
        <x:v>1</x:v>
      </x:c>
    </x:row>
    <x:row r="15" ht="15" hidden="0" customHeight="1">
      <x:c r="A15" s="25" t="str">
        <x:v>Black demand +25%</x:v>
      </x:c>
      <x:c r="B15" s="25" t="str">
        <x:v>W4 U4 B4 R4 UB2 BR1</x:v>
      </x:c>
      <x:c r="C15" s="39" t="n">
        <x:v>17.813326435314195</x:v>
      </x:c>
      <x:c r="D15" s="39" t="n">
        <x:v>0.1264353936844848</x:v>
      </x:c>
      <x:c r="E15" s="80"/>
      <x:c r="F15" s="25" t="str">
        <x:v>All draw</x:v>
      </x:c>
      <x:c r="G15" s="25" t="str">
        <x:v>W4 U4 B4 R4 WU1 UB2</x:v>
      </x:c>
      <x:c r="H15" s="39" t="n">
        <x:v>16.040484432083502</x:v>
      </x:c>
      <x:c r="I15" s="39" t="n">
        <x:v>0.074720640612659</x:v>
      </x:c>
      <x:c r="J15" s="26" t="b">
        <x:v>0</x:v>
      </x:c>
    </x:row>
    <x:row r="16" ht="15" hidden="0" customHeight="1">
      <x:c r="A16" s="25" t="str">
        <x:v>Black demand +25%</x:v>
      </x:c>
      <x:c r="B16" s="25" t="str">
        <x:v>W4 U4 B4 R4 WU1 UB2</x:v>
      </x:c>
      <x:c r="C16" s="39" t="n">
        <x:v>17.823645075264512</x:v>
      </x:c>
      <x:c r="D16" s="39" t="n">
        <x:v>0.1367540336348014</x:v>
      </x:c>
      <x:c r="E16" s="80"/>
      <x:c r="F16" s="25" t="str">
        <x:v>All draw</x:v>
      </x:c>
      <x:c r="G16" s="25" t="str">
        <x:v>W4 U4 B4 R4 WB1 UB2</x:v>
      </x:c>
      <x:c r="H16" s="39" t="n">
        <x:v>16.06625488206052</x:v>
      </x:c>
      <x:c r="I16" s="39" t="n">
        <x:v>0.100491090589676</x:v>
      </x:c>
      <x:c r="J16" s="26" t="b">
        <x:v>0</x:v>
      </x:c>
    </x:row>
    <x:row r="17" ht="15" hidden="0" customHeight="1">
      <x:c r="A17" s="25" t="str">
        <x:v>Black demand +25%</x:v>
      </x:c>
      <x:c r="B17" s="25" t="str">
        <x:v>W4 U4 B4 R4 UB2 UR1</x:v>
      </x:c>
      <x:c r="C17" s="39" t="n">
        <x:v>17.874328084053158</x:v>
      </x:c>
      <x:c r="D17" s="39" t="n">
        <x:v>0.187437042423447</x:v>
      </x:c>
      <x:c r="E17" s="80"/>
      <x:c r="F17" s="25" t="str">
        <x:v>All draw</x:v>
      </x:c>
      <x:c r="G17" s="25" t="str">
        <x:v>W4 U4 B4 R4 UB2 BR1</x:v>
      </x:c>
      <x:c r="H17" s="39" t="n">
        <x:v>16.07203599713122</x:v>
      </x:c>
      <x:c r="I17" s="39" t="n">
        <x:v>0.1062722056603764</x:v>
      </x:c>
      <x:c r="J17" s="26" t="b">
        <x:v>0</x:v>
      </x:c>
    </x:row>
    <x:row r="18" ht="15" hidden="0" customHeight="1">
      <x:c r="A18" s="25" t="str">
        <x:v>Black demand +25%</x:v>
      </x:c>
      <x:c r="B18" s="25" t="str">
        <x:v>W3 U4 B4 R4 WU1 WB1 UB2</x:v>
      </x:c>
      <x:c r="C18" s="39" t="n">
        <x:v>18.57846355543301</x:v>
      </x:c>
      <x:c r="D18" s="39" t="n">
        <x:v>0.8915725138033039</x:v>
      </x:c>
      <x:c r="E18" s="80"/>
      <x:c r="F18" s="25" t="str">
        <x:v>All draw</x:v>
      </x:c>
      <x:c r="G18" s="25" t="str">
        <x:v>W4 U4 B4 R4 UB2 UR1</x:v>
      </x:c>
      <x:c r="H18" s="39" t="n">
        <x:v>16.086761861127258</x:v>
      </x:c>
      <x:c r="I18" s="39" t="n">
        <x:v>0.1209980696564141</x:v>
      </x:c>
      <x:c r="J18" s="26" t="b">
        <x:v>0</x:v>
      </x:c>
    </x:row>
    <x:row r="19" ht="15" hidden="0" customHeight="1">
      <x:c r="A19" s="25" t="str">
        <x:v>Boulder rescue halved</x:v>
      </x:c>
      <x:c r="B19" s="25" t="str">
        <x:v>W4 U4 B4 R4 UB3</x:v>
      </x:c>
      <x:c r="C19" s="39" t="n">
        <x:v>18.023188075584088</x:v>
      </x:c>
      <x:c r="D19" s="39" t="n">
        <x:v>0</x:v>
      </x:c>
      <x:c r="E19" s="80"/>
      <x:c r="F19" s="25" t="str">
        <x:v>All draw</x:v>
      </x:c>
      <x:c r="G19" s="25" t="str">
        <x:v>W3 U4 B4 R4 WU1 WB1 UB2</x:v>
      </x:c>
      <x:c r="H19" s="39" t="n">
        <x:v>16.890453531258288</x:v>
      </x:c>
      <x:c r="I19" s="39" t="n">
        <x:v>0.9246897397874444</x:v>
      </x:c>
      <x:c r="J19" s="26" t="b">
        <x:v>0</x:v>
      </x:c>
    </x:row>
    <x:row r="20" ht="15" hidden="0" customHeight="1">
      <x:c r="A20" s="25" t="str">
        <x:v>Boulder rescue halved</x:v>
      </x:c>
      <x:c r="B20" s="25" t="str">
        <x:v>W4 U4 B4 R4 WU1 UB2</x:v>
      </x:c>
      <x:c r="C20" s="39" t="n">
        <x:v>18.12526738458057</x:v>
      </x:c>
      <x:c r="D20" s="39" t="n">
        <x:v>0.1020793089964868</x:v>
      </x:c>
      <x:c r="E20" s="80"/>
      <x:c r="F20" s="25" t="str">
        <x:v>50/50 mix</x:v>
      </x:c>
      <x:c r="G20" s="25" t="str">
        <x:v>W4 U4 B4 R4 UB3</x:v>
      </x:c>
      <x:c r="H20" s="39" t="n">
        <x:v>16.672107446399995</x:v>
      </x:c>
      <x:c r="I20" s="39" t="n">
        <x:v>0</x:v>
      </x:c>
      <x:c r="J20" s="26" t="b">
        <x:v>1</x:v>
      </x:c>
    </x:row>
    <x:row r="21" ht="15" hidden="0" customHeight="1">
      <x:c r="A21" s="25" t="str">
        <x:v>Boulder rescue halved</x:v>
      </x:c>
      <x:c r="B21" s="25" t="str">
        <x:v>W4 U4 B4 R4 UB2 BR1</x:v>
      </x:c>
      <x:c r="C21" s="39" t="n">
        <x:v>18.156602436306937</x:v>
      </x:c>
      <x:c r="D21" s="39" t="n">
        <x:v>0.133414360722849</x:v>
      </x:c>
      <x:c r="E21" s="80"/>
      <x:c r="F21" s="25" t="str">
        <x:v>50/50 mix</x:v>
      </x:c>
      <x:c r="G21" s="25" t="str">
        <x:v>W4 U4 B4 R4 WU1 UB2</x:v>
      </x:c>
      <x:c r="H21" s="39" t="n">
        <x:v>16.743736462616997</x:v>
      </x:c>
      <x:c r="I21" s="39" t="n">
        <x:v>0.0716290162170025</x:v>
      </x:c>
      <x:c r="J21" s="26" t="b">
        <x:v>0</x:v>
      </x:c>
    </x:row>
    <x:row r="22" ht="15" hidden="0" customHeight="1">
      <x:c r="A22" s="25" t="str">
        <x:v>Boulder rescue halved</x:v>
      </x:c>
      <x:c r="B22" s="25" t="str">
        <x:v>W4 U4 B4 R4 UB2 UR1</x:v>
      </x:c>
      <x:c r="C22" s="39" t="n">
        <x:v>18.16208214255644</x:v>
      </x:c>
      <x:c r="D22" s="39" t="n">
        <x:v>0.1388940669723481</x:v>
      </x:c>
      <x:c r="E22" s="80"/>
      <x:c r="F22" s="25" t="str">
        <x:v>50/50 mix</x:v>
      </x:c>
      <x:c r="G22" s="25" t="str">
        <x:v>W4 U4 B4 R4 WB1 UB2</x:v>
      </x:c>
      <x:c r="H22" s="39" t="n">
        <x:v>16.773719209123282</x:v>
      </x:c>
      <x:c r="I22" s="39" t="n">
        <x:v>0.1016117627232873</x:v>
      </x:c>
      <x:c r="J22" s="26" t="b">
        <x:v>0</x:v>
      </x:c>
    </x:row>
    <x:row r="23" ht="15" hidden="0" customHeight="1">
      <x:c r="A23" s="25" t="str">
        <x:v>Boulder rescue halved</x:v>
      </x:c>
      <x:c r="B23" s="25" t="str">
        <x:v>W4 U4 B4 R4 WB1 UB2</x:v>
      </x:c>
      <x:c r="C23" s="39" t="n">
        <x:v>18.178460872760173</x:v>
      </x:c>
      <x:c r="D23" s="39" t="n">
        <x:v>0.1552727971760852</x:v>
      </x:c>
      <x:c r="E23" s="80"/>
      <x:c r="F23" s="25" t="str">
        <x:v>50/50 mix</x:v>
      </x:c>
      <x:c r="G23" s="25" t="str">
        <x:v>W4 U4 B4 R4 UB2 BR1</x:v>
      </x:c>
      <x:c r="H23" s="39" t="n">
        <x:v>16.7759298844605</x:v>
      </x:c>
      <x:c r="I23" s="39" t="n">
        <x:v>0.1038224380605044</x:v>
      </x:c>
      <x:c r="J23" s="26" t="b">
        <x:v>0</x:v>
      </x:c>
    </x:row>
    <x:row r="24" ht="15" hidden="0" customHeight="1">
      <x:c r="A24" s="25" t="str">
        <x:v>Boulder rescue halved</x:v>
      </x:c>
      <x:c r="B24" s="25" t="str">
        <x:v>W3 U4 B4 R4 WU1 WB1 UB2</x:v>
      </x:c>
      <x:c r="C24" s="39" t="n">
        <x:v>18.87351423414052</x:v>
      </x:c>
      <x:c r="D24" s="39" t="n">
        <x:v>0.850326158556431</x:v>
      </x:c>
      <x:c r="E24" s="80"/>
      <x:c r="F24" s="25" t="str">
        <x:v>50/50 mix</x:v>
      </x:c>
      <x:c r="G24" s="25" t="str">
        <x:v>W4 U4 B4 R4 UB2 UR1</x:v>
      </x:c>
      <x:c r="H24" s="39" t="n">
        <x:v>16.79120295207877</x:v>
      </x:c>
      <x:c r="I24" s="39" t="n">
        <x:v>0.119095505678775</x:v>
      </x:c>
      <x:c r="J24" s="26" t="b">
        <x:v>0</x:v>
      </x:c>
    </x:row>
    <x:row r="25" ht="15" hidden="0" customHeight="1">
      <x:c r="A25" s="25" t="str">
        <x:v>Color-consistency</x:v>
      </x:c>
      <x:c r="B25" s="25" t="str">
        <x:v>W4 U4 B4 R4 UB3</x:v>
      </x:c>
      <x:c r="C25" s="39" t="n">
        <x:v>18.80537597466666</x:v>
      </x:c>
      <x:c r="D25" s="39" t="n">
        <x:v>0</x:v>
      </x:c>
      <x:c r="E25" s="80"/>
      <x:c r="F25" s="25" t="str">
        <x:v>50/50 mix</x:v>
      </x:c>
      <x:c r="G25" s="25" t="str">
        <x:v>W3 U4 B4 R4 WU1 WB1 UB2</x:v>
      </x:c>
      <x:c r="H25" s="39" t="n">
        <x:v>17.54690642847666</x:v>
      </x:c>
      <x:c r="I25" s="39" t="n">
        <x:v>0.8747989820766655</x:v>
      </x:c>
      <x:c r="J25" s="26" t="b">
        <x:v>0</x:v>
      </x:c>
    </x:row>
    <x:row r="26" ht="15" hidden="0" customHeight="1">
      <x:c r="A26" s="25" t="str">
        <x:v>Color-consistency</x:v>
      </x:c>
      <x:c r="B26" s="25" t="str">
        <x:v>W4 U4 B4 R4 WU1 UB2</x:v>
      </x:c>
      <x:c r="C26" s="39" t="n">
        <x:v>18.86278546160458</x:v>
      </x:c>
      <x:c r="D26" s="39" t="n">
        <x:v>0.0574094869379209</x:v>
      </x:c>
      <x:c r="E26" s="80"/>
      <x:c r="F26" s="25" t="str">
        <x:v>London 50/50</x:v>
      </x:c>
      <x:c r="G26" s="25" t="str">
        <x:v>W4 U4 B4 R4 UB3</x:v>
      </x:c>
      <x:c r="H26" s="39" t="n">
        <x:v>14.169613941439106</x:v>
      </x:c>
      <x:c r="I26" s="39" t="n">
        <x:v>0</x:v>
      </x:c>
      <x:c r="J26" s="26" t="b">
        <x:v>1</x:v>
      </x:c>
    </x:row>
    <x:row r="27" ht="15" hidden="0" customHeight="1">
      <x:c r="A27" s="25" t="str">
        <x:v>Color-consistency</x:v>
      </x:c>
      <x:c r="B27" s="25" t="str">
        <x:v>W4 U4 B4 R4 WB1 UB2</x:v>
      </x:c>
      <x:c r="C27" s="39" t="n">
        <x:v>18.88689359473744</x:v>
      </x:c>
      <x:c r="D27" s="39" t="n">
        <x:v>0.0815176200707732</x:v>
      </x:c>
      <x:c r="E27" s="80"/>
      <x:c r="F27" s="25" t="str">
        <x:v>London 50/50</x:v>
      </x:c>
      <x:c r="G27" s="25" t="str">
        <x:v>W4 U4 B4 R4 WU1 UB2</x:v>
      </x:c>
      <x:c r="H27" s="39" t="n">
        <x:v>14.27110812137586</x:v>
      </x:c>
      <x:c r="I27" s="39" t="n">
        <x:v>0.1014941799367541</x:v>
      </x:c>
      <x:c r="J27" s="26" t="b">
        <x:v>0</x:v>
      </x:c>
    </x:row>
    <x:row r="28" ht="15" hidden="0" customHeight="1">
      <x:c r="A28" s="25" t="str">
        <x:v>Color-consistency</x:v>
      </x:c>
      <x:c r="B28" s="25" t="str">
        <x:v>W4 U4 B4 R4 UB2 BR1</x:v>
      </x:c>
      <x:c r="C28" s="39" t="n">
        <x:v>18.90804287224229</x:v>
      </x:c>
      <x:c r="D28" s="39" t="n">
        <x:v>0.1026668975756344</x:v>
      </x:c>
      <x:c r="E28" s="80"/>
      <x:c r="F28" s="25" t="str">
        <x:v>London 50/50</x:v>
      </x:c>
      <x:c r="G28" s="25" t="str">
        <x:v>W4 U4 B4 R4 UB2 BR1</x:v>
      </x:c>
      <x:c r="H28" s="39" t="n">
        <x:v>14.301812132043798</x:v>
      </x:c>
      <x:c r="I28" s="39" t="n">
        <x:v>0.1321981906046918</x:v>
      </x:c>
      <x:c r="J28" s="26" t="b">
        <x:v>0</x:v>
      </x:c>
    </x:row>
    <x:row r="29" ht="15" hidden="0" customHeight="1">
      <x:c r="A29" s="25" t="str">
        <x:v>Color-consistency</x:v>
      </x:c>
      <x:c r="B29" s="25" t="str">
        <x:v>W4 U4 B4 R4 UB2 UR1</x:v>
      </x:c>
      <x:c r="C29" s="39" t="n">
        <x:v>18.9298968234318</x:v>
      </x:c>
      <x:c r="D29" s="39" t="n">
        <x:v>0.1245208487651368</x:v>
      </x:c>
      <x:c r="E29" s="80"/>
      <x:c r="F29" s="25" t="str">
        <x:v>London 50/50</x:v>
      </x:c>
      <x:c r="G29" s="25" t="str">
        <x:v>W4 U4 B4 R4 WB1 UB2</x:v>
      </x:c>
      <x:c r="H29" s="39" t="n">
        <x:v>14.3081264034298</x:v>
      </x:c>
      <x:c r="I29" s="39" t="n">
        <x:v>0.1385124619906932</x:v>
      </x:c>
      <x:c r="J29" s="26" t="b">
        <x:v>0</x:v>
      </x:c>
    </x:row>
    <x:row r="30" ht="15" hidden="0" customHeight="1">
      <x:c r="A30" s="25" t="str">
        <x:v>Color-consistency</x:v>
      </x:c>
      <x:c r="B30" s="25" t="str">
        <x:v>W3 U4 B4 R4 WU1 WB1 UB2</x:v>
      </x:c>
      <x:c r="C30" s="39" t="n">
        <x:v>19.30517230226249</x:v>
      </x:c>
      <x:c r="D30" s="39" t="n">
        <x:v>0.4997963275958312</x:v>
      </x:c>
      <x:c r="E30" s="80"/>
      <x:c r="F30" s="25" t="str">
        <x:v>London 50/50</x:v>
      </x:c>
      <x:c r="G30" s="25" t="str">
        <x:v>W4 U4 B4 R4 UB2 UR1</x:v>
      </x:c>
      <x:c r="H30" s="39" t="n">
        <x:v>14.313982601037331</x:v>
      </x:c>
      <x:c r="I30" s="39" t="n">
        <x:v>0.1443686595982249</x:v>
      </x:c>
      <x:c r="J30" s="26" t="b">
        <x:v>0</x:v>
      </x:c>
    </x:row>
    <x:row r="31" ht="15" hidden="0" customHeight="1">
      <x:c r="A31" s="25" t="str">
        <x:v>Double-spell x2</x:v>
      </x:c>
      <x:c r="B31" s="25" t="str">
        <x:v>W4 U4 B4 R4 UB3</x:v>
      </x:c>
      <x:c r="C31" s="39" t="n">
        <x:v>17.917689779733326</x:v>
      </x:c>
      <x:c r="D31" s="39" t="n">
        <x:v>0</x:v>
      </x:c>
      <x:c r="E31" s="80"/>
      <x:c r="F31" s="27" t="str">
        <x:v>London 50/50</x:v>
      </x:c>
      <x:c r="G31" s="27" t="str">
        <x:v>W3 U4 B4 R4 WU1 WB1 UB2</x:v>
      </x:c>
      <x:c r="H31" s="40" t="n">
        <x:v>14.98798932223934</x:v>
      </x:c>
      <x:c r="I31" s="40" t="n">
        <x:v>0.8183753808002336</x:v>
      </x:c>
      <x:c r="J31" s="28" t="b">
        <x:v>0</x:v>
      </x:c>
    </x:row>
    <x:row r="32" ht="15" hidden="0" customHeight="1">
      <x:c r="A32" s="25" t="str">
        <x:v>Double-spell x2</x:v>
      </x:c>
      <x:c r="B32" s="25" t="str">
        <x:v>W4 U4 B4 R4 WU1 UB2</x:v>
      </x:c>
      <x:c r="C32" s="39" t="n">
        <x:v>17.98665812928366</x:v>
      </x:c>
      <x:c r="D32" s="39" t="n">
        <x:v>0.0689683495503352</x:v>
      </x:c>
      <x:c r="E32" s="80"/>
      <x:c r="F32" s="80"/>
      <x:c r="G32" s="80"/>
      <x:c r="H32" s="80"/>
      <x:c r="I32" s="80"/>
      <x:c r="J32" s="80"/>
    </x:row>
    <x:row r="33" ht="15" hidden="0" customHeight="1">
      <x:c r="A33" s="25" t="str">
        <x:v>Double-spell x2</x:v>
      </x:c>
      <x:c r="B33" s="25" t="str">
        <x:v>W4 U4 B4 R4 UB2 BR1</x:v>
      </x:c>
      <x:c r="C33" s="39" t="n">
        <x:v>18.01567121779384</x:v>
      </x:c>
      <x:c r="D33" s="39" t="n">
        <x:v>0.0979814380605077</x:v>
      </x:c>
      <x:c r="E33" s="80"/>
      <x:c r="F33" s="80"/>
      <x:c r="G33" s="80"/>
      <x:c r="H33" s="80"/>
      <x:c r="I33" s="80"/>
      <x:c r="J33" s="80"/>
    </x:row>
    <x:row r="34" ht="15" hidden="0" customHeight="1">
      <x:c r="A34" s="25" t="str">
        <x:v>Double-spell x2</x:v>
      </x:c>
      <x:c r="B34" s="25" t="str">
        <x:v>W4 U4 B4 R4 WB1 UB2</x:v>
      </x:c>
      <x:c r="C34" s="39" t="n">
        <x:v>18.019153875789947</x:v>
      </x:c>
      <x:c r="D34" s="39" t="n">
        <x:v>0.1014640960566204</x:v>
      </x:c>
      <x:c r="E34" s="80"/>
      <x:c r="F34" s="73" t="str">
        <x:v>Independent 250,000-game replicate stability</x:v>
      </x:c>
      <x:c r="G34" s="80"/>
      <x:c r="H34" s="80"/>
      <x:c r="I34" s="80"/>
      <x:c r="J34" s="80"/>
    </x:row>
    <x:row r="35" ht="15" hidden="0" customHeight="1">
      <x:c r="A35" s="25" t="str">
        <x:v>Double-spell x2</x:v>
      </x:c>
      <x:c r="B35" s="25" t="str">
        <x:v>W4 U4 B4 R4 UB2 UR1</x:v>
      </x:c>
      <x:c r="C35" s="39" t="n">
        <x:v>18.032573618745435</x:v>
      </x:c>
      <x:c r="D35" s="39" t="n">
        <x:v>0.1148838390121085</x:v>
      </x:c>
      <x:c r="E35" s="80"/>
      <x:c r="F35" s="16" t="str">
        <x:v>Seed</x:v>
      </x:c>
      <x:c r="G35" s="17" t="str">
        <x:v>Configuration</x:v>
      </x:c>
      <x:c r="H35" s="18" t="str">
        <x:v>Balanced failure cost</x:v>
      </x:c>
      <x:c r="I35" s="80"/>
      <x:c r="J35" s="80"/>
    </x:row>
    <x:row r="36" ht="15" hidden="0" customHeight="1">
      <x:c r="A36" s="25" t="str">
        <x:v>Double-spell x2</x:v>
      </x:c>
      <x:c r="B36" s="25" t="str">
        <x:v>W3 U4 B4 R4 WU1 WB1 UB2</x:v>
      </x:c>
      <x:c r="C36" s="39" t="n">
        <x:v>18.80386476181</x:v>
      </x:c>
      <x:c r="D36" s="39" t="n">
        <x:v>0.8861749820766676</x:v>
      </x:c>
      <x:c r="E36" s="80"/>
      <x:c r="F36" s="23" t="n">
        <x:v>20261917</x:v>
      </x:c>
      <x:c r="G36" s="23" t="str">
        <x:v>W4 U4 B4 R4 UB3</x:v>
      </x:c>
      <x:c r="H36" s="52" t="n">
        <x:v>16.66219846640972</x:v>
      </x:c>
      <x:c r="I36" s="80"/>
      <x:c r="J36" s="80"/>
    </x:row>
    <x:row r="37" ht="15" hidden="0" customHeight="1">
      <x:c r="A37" s="25" t="str">
        <x:v>Early Blast +50%</x:v>
      </x:c>
      <x:c r="B37" s="25" t="str">
        <x:v>W4 U4 B4 R4 UB3</x:v>
      </x:c>
      <x:c r="C37" s="39" t="n">
        <x:v>18.26264444639999</x:v>
      </x:c>
      <x:c r="D37" s="39" t="n">
        <x:v>0</x:v>
      </x:c>
      <x:c r="E37" s="80"/>
      <x:c r="F37" s="25" t="n">
        <x:v>20261917</x:v>
      </x:c>
      <x:c r="G37" s="25" t="str">
        <x:v>W4 U4 B4 R4 WU1 UB2</x:v>
      </x:c>
      <x:c r="H37" s="39" t="n">
        <x:v>16.74341700417184</x:v>
      </x:c>
      <x:c r="I37" s="80"/>
      <x:c r="J37" s="80"/>
    </x:row>
    <x:row r="38" ht="15" hidden="0" customHeight="1">
      <x:c r="A38" s="25" t="str">
        <x:v>Early Blast +50%</x:v>
      </x:c>
      <x:c r="B38" s="25" t="str">
        <x:v>W4 U4 B4 R4 UB2 BR1</x:v>
      </x:c>
      <x:c r="C38" s="39" t="n">
        <x:v>18.2713348844605</x:v>
      </x:c>
      <x:c r="D38" s="39" t="n">
        <x:v>0.0086904380605119</x:v>
      </x:c>
      <x:c r="E38" s="80"/>
      <x:c r="F38" s="25" t="n">
        <x:v>20261917</x:v>
      </x:c>
      <x:c r="G38" s="25" t="str">
        <x:v>W3 U4 B4 R4 WU1 WB1 UB2</x:v>
      </x:c>
      <x:c r="H38" s="39" t="n">
        <x:v>17.540806371782043</x:v>
      </x:c>
      <x:c r="I38" s="80"/>
      <x:c r="J38" s="80"/>
    </x:row>
    <x:row r="39" ht="15" hidden="0" customHeight="1">
      <x:c r="A39" s="25" t="str">
        <x:v>Early Blast +50%</x:v>
      </x:c>
      <x:c r="B39" s="25" t="str">
        <x:v>W4 U4 B4 R4 UB2 UR1</x:v>
      </x:c>
      <x:c r="C39" s="39" t="n">
        <x:v>18.29407095207877</x:v>
      </x:c>
      <x:c r="D39" s="39" t="n">
        <x:v>0.0314265056787768</x:v>
      </x:c>
      <x:c r="E39" s="80"/>
      <x:c r="F39" s="25" t="n">
        <x:v>20261918</x:v>
      </x:c>
      <x:c r="G39" s="25" t="str">
        <x:v>W4 U4 B4 R4 UB3</x:v>
      </x:c>
      <x:c r="H39" s="39" t="n">
        <x:v>16.696335571659045</x:v>
      </x:c>
      <x:c r="I39" s="80"/>
      <x:c r="J39" s="80"/>
    </x:row>
    <x:row r="40" ht="15" hidden="0" customHeight="1">
      <x:c r="A40" s="25" t="str">
        <x:v>Early Blast +50%</x:v>
      </x:c>
      <x:c r="B40" s="25" t="str">
        <x:v>W4 U4 B4 R4 WU1 UB2</x:v>
      </x:c>
      <x:c r="C40" s="39" t="n">
        <x:v>18.310675462617</x:v>
      </x:c>
      <x:c r="D40" s="39" t="n">
        <x:v>0.0480310162170098</x:v>
      </x:c>
      <x:c r="E40" s="80"/>
      <x:c r="F40" s="25" t="n">
        <x:v>20261918</x:v>
      </x:c>
      <x:c r="G40" s="25" t="str">
        <x:v>W4 U4 B4 R4 WU1 UB2</x:v>
      </x:c>
      <x:c r="H40" s="39" t="n">
        <x:v>16.771740472058212</x:v>
      </x:c>
      <x:c r="I40" s="80"/>
      <x:c r="J40" s="80"/>
    </x:row>
    <x:row r="41" ht="15" hidden="0" customHeight="1">
      <x:c r="A41" s="25" t="str">
        <x:v>Early Blast +50%</x:v>
      </x:c>
      <x:c r="B41" s="25" t="str">
        <x:v>W4 U4 B4 R4 WB1 UB2</x:v>
      </x:c>
      <x:c r="C41" s="39" t="n">
        <x:v>18.33456070912328</x:v>
      </x:c>
      <x:c r="D41" s="39" t="n">
        <x:v>0.0719162627232918</x:v>
      </x:c>
      <x:c r="E41" s="80"/>
      <x:c r="F41" s="25" t="n">
        <x:v>20261918</x:v>
      </x:c>
      <x:c r="G41" s="25" t="str">
        <x:v>W3 U4 B4 R4 WU1 WB1 UB2</x:v>
      </x:c>
      <x:c r="H41" s="39" t="n">
        <x:v>17.552810324599857</x:v>
      </x:c>
      <x:c r="I41" s="80"/>
      <x:c r="J41" s="80"/>
    </x:row>
    <x:row r="42" ht="15" hidden="0" customHeight="1">
      <x:c r="A42" s="25" t="str">
        <x:v>Early Blast +50%</x:v>
      </x:c>
      <x:c r="B42" s="25" t="str">
        <x:v>W3 U4 B4 R4 WU1 WB1 UB2</x:v>
      </x:c>
      <x:c r="C42" s="39" t="n">
        <x:v>19.12716442847666</x:v>
      </x:c>
      <x:c r="D42" s="39" t="n">
        <x:v>0.864519982076672</x:v>
      </x:c>
      <x:c r="E42" s="80"/>
      <x:c r="F42" s="25" t="n">
        <x:v>20261919</x:v>
      </x:c>
      <x:c r="G42" s="25" t="str">
        <x:v>W4 U4 B4 R4 UB3</x:v>
      </x:c>
      <x:c r="H42" s="39" t="n">
        <x:v>16.681359264904973</x:v>
      </x:c>
      <x:c r="I42" s="80"/>
      <x:c r="J42" s="80"/>
    </x:row>
    <x:row r="43" ht="15" hidden="0" customHeight="1">
      <x:c r="A43" s="25" t="str">
        <x:v>Early Dispatch +50%</x:v>
      </x:c>
      <x:c r="B43" s="25" t="str">
        <x:v>W4 U4 B4 R4 WU1 UB2</x:v>
      </x:c>
      <x:c r="C43" s="39" t="n">
        <x:v>18.215582962616995</x:v>
      </x:c>
      <x:c r="D43" s="39" t="n">
        <x:v>0</x:v>
      </x:c>
      <x:c r="E43" s="80"/>
      <x:c r="F43" s="25" t="n">
        <x:v>20261919</x:v>
      </x:c>
      <x:c r="G43" s="25" t="str">
        <x:v>W4 U4 B4 R4 WU1 UB2</x:v>
      </x:c>
      <x:c r="H43" s="39" t="n">
        <x:v>16.753443898105466</x:v>
      </x:c>
      <x:c r="I43" s="80"/>
      <x:c r="J43" s="80"/>
    </x:row>
    <x:row r="44" ht="15" hidden="0" customHeight="1">
      <x:c r="A44" s="25" t="str">
        <x:v>Early Dispatch +50%</x:v>
      </x:c>
      <x:c r="B44" s="25" t="str">
        <x:v>W4 U4 B4 R4 UB3</x:v>
      </x:c>
      <x:c r="C44" s="39" t="n">
        <x:v>18.22247894639999</x:v>
      </x:c>
      <x:c r="D44" s="39" t="n">
        <x:v>0.0068959837829929</x:v>
      </x:c>
      <x:c r="E44" s="80"/>
      <x:c r="F44" s="25" t="n">
        <x:v>20261919</x:v>
      </x:c>
      <x:c r="G44" s="25" t="str">
        <x:v>W3 U4 B4 R4 WU1 WB1 UB2</x:v>
      </x:c>
      <x:c r="H44" s="39" t="n">
        <x:v>17.545937507175523</x:v>
      </x:c>
      <x:c r="I44" s="80"/>
      <x:c r="J44" s="80"/>
    </x:row>
    <x:row r="45" ht="15" hidden="0" customHeight="1">
      <x:c r="A45" s="25" t="str">
        <x:v>Early Dispatch +50%</x:v>
      </x:c>
      <x:c r="B45" s="25" t="str">
        <x:v>W4 U4 B4 R4 WB1 UB2</x:v>
      </x:c>
      <x:c r="C45" s="39" t="n">
        <x:v>18.24821170912328</x:v>
      </x:c>
      <x:c r="D45" s="39" t="n">
        <x:v>0.0326287465062833</x:v>
      </x:c>
      <x:c r="E45" s="80"/>
      <x:c r="F45" s="25" t="n">
        <x:v>20261920</x:v>
      </x:c>
      <x:c r="G45" s="25" t="str">
        <x:v>W4 U4 B4 R4 UB3</x:v>
      </x:c>
      <x:c r="H45" s="39" t="n">
        <x:v>16.678958625591466</x:v>
      </x:c>
      <x:c r="I45" s="80"/>
      <x:c r="J45" s="80"/>
    </x:row>
    <x:row r="46" ht="15" hidden="0" customHeight="1">
      <x:c r="A46" s="25" t="str">
        <x:v>Early Dispatch +50%</x:v>
      </x:c>
      <x:c r="B46" s="25" t="str">
        <x:v>W4 U4 B4 R4 UB2 BR1</x:v>
      </x:c>
      <x:c r="C46" s="39" t="n">
        <x:v>18.32094938446049</x:v>
      </x:c>
      <x:c r="D46" s="39" t="n">
        <x:v>0.1053664218435024</x:v>
      </x:c>
      <x:c r="E46" s="80"/>
      <x:c r="F46" s="25" t="n">
        <x:v>20261920</x:v>
      </x:c>
      <x:c r="G46" s="25" t="str">
        <x:v>W4 U4 B4 R4 WU1 UB2</x:v>
      </x:c>
      <x:c r="H46" s="39" t="n">
        <x:v>16.75412634903683</x:v>
      </x:c>
      <x:c r="I46" s="80"/>
      <x:c r="J46" s="80"/>
    </x:row>
    <x:row r="47" ht="15" hidden="0" customHeight="1">
      <x:c r="A47" s="25" t="str">
        <x:v>Early Dispatch +50%</x:v>
      </x:c>
      <x:c r="B47" s="25" t="str">
        <x:v>W4 U4 B4 R4 UB2 UR1</x:v>
      </x:c>
      <x:c r="C47" s="39" t="n">
        <x:v>18.335866952078764</x:v>
      </x:c>
      <x:c r="D47" s="39" t="n">
        <x:v>0.1202839894617682</x:v>
      </x:c>
      <x:c r="E47" s="80"/>
      <x:c r="F47" s="27" t="n">
        <x:v>20261920</x:v>
      </x:c>
      <x:c r="G47" s="27" t="str">
        <x:v>W3 U4 B4 R4 WU1 WB1 UB2</x:v>
      </x:c>
      <x:c r="H47" s="40" t="n">
        <x:v>17.555255215707785</x:v>
      </x:c>
      <x:c r="I47" s="80"/>
      <x:c r="J47" s="80"/>
    </x:row>
    <x:row r="48" ht="15" hidden="0" customHeight="1">
      <x:c r="A48" s="25" t="str">
        <x:v>Early Dispatch +50%</x:v>
      </x:c>
      <x:c r="B48" s="25" t="str">
        <x:v>W3 U4 B4 R4 WU1 WB1 UB2</x:v>
      </x:c>
      <x:c r="C48" s="39" t="n">
        <x:v>19.09716692847666</x:v>
      </x:c>
      <x:c r="D48" s="39" t="n">
        <x:v>0.8815839658596651</x:v>
      </x:c>
      <x:c r="E48" s="80"/>
      <x:c r="F48" s="80"/>
      <x:c r="G48" s="80"/>
      <x:c r="H48" s="80"/>
      <x:c r="I48" s="80"/>
      <x:c r="J48" s="80"/>
    </x:row>
    <x:row r="49" ht="15" hidden="0" customHeight="1">
      <x:c r="A49" s="25" t="str">
        <x:v>Early Strix +50%</x:v>
      </x:c>
      <x:c r="B49" s="25" t="str">
        <x:v>W4 U4 B4 R4 UB3</x:v>
      </x:c>
      <x:c r="C49" s="39" t="n">
        <x:v>17.94641344639999</x:v>
      </x:c>
      <x:c r="D49" s="39" t="n">
        <x:v>0</x:v>
      </x:c>
      <x:c r="E49" s="80"/>
      <x:c r="F49" s="80"/>
      <x:c r="G49" s="80"/>
      <x:c r="H49" s="80"/>
      <x:c r="I49" s="80"/>
      <x:c r="J49" s="80"/>
    </x:row>
    <x:row r="50" ht="15" hidden="0" customHeight="1">
      <x:c r="A50" s="25" t="str">
        <x:v>Early Strix +50%</x:v>
      </x:c>
      <x:c r="B50" s="25" t="str">
        <x:v>W4 U4 B4 R4 WU1 UB2</x:v>
      </x:c>
      <x:c r="C50" s="39" t="n">
        <x:v>18.035102462617</x:v>
      </x:c>
      <x:c r="D50" s="39" t="n">
        <x:v>0.0886890162170068</x:v>
      </x:c>
      <x:c r="E50" s="80"/>
      <x:c r="F50" s="80"/>
      <x:c r="G50" s="80"/>
      <x:c r="H50" s="80"/>
      <x:c r="I50" s="80"/>
      <x:c r="J50" s="80"/>
    </x:row>
    <x:row r="51" ht="15" hidden="0" customHeight="1">
      <x:c r="A51" s="25" t="str">
        <x:v>Early Strix +50%</x:v>
      </x:c>
      <x:c r="B51" s="25" t="str">
        <x:v>W4 U4 B4 R4 UB2 BR1</x:v>
      </x:c>
      <x:c r="C51" s="39" t="n">
        <x:v>18.0719998844605</x:v>
      </x:c>
      <x:c r="D51" s="39" t="n">
        <x:v>0.1255864380605089</x:v>
      </x:c>
      <x:c r="E51" s="80"/>
      <x:c r="F51" s="80"/>
      <x:c r="G51" s="80"/>
      <x:c r="H51" s="80"/>
      <x:c r="I51" s="80"/>
      <x:c r="J51" s="80"/>
    </x:row>
    <x:row r="52" ht="15" hidden="0" customHeight="1">
      <x:c r="A52" s="25" t="str">
        <x:v>Early Strix +50%</x:v>
      </x:c>
      <x:c r="B52" s="25" t="str">
        <x:v>W4 U4 B4 R4 WB1 UB2</x:v>
      </x:c>
      <x:c r="C52" s="39" t="n">
        <x:v>18.07451520912328</x:v>
      </x:c>
      <x:c r="D52" s="39" t="n">
        <x:v>0.1281017627232863</x:v>
      </x:c>
      <x:c r="E52" s="80"/>
      <x:c r="F52" s="80"/>
      <x:c r="G52" s="80"/>
      <x:c r="H52" s="80"/>
      <x:c r="I52" s="80"/>
      <x:c r="J52" s="80"/>
    </x:row>
    <x:row r="53" ht="15" hidden="0" customHeight="1">
      <x:c r="A53" s="25" t="str">
        <x:v>Early Strix +50%</x:v>
      </x:c>
      <x:c r="B53" s="25" t="str">
        <x:v>W4 U4 B4 R4 UB2 UR1</x:v>
      </x:c>
      <x:c r="C53" s="39" t="n">
        <x:v>18.083140952078764</x:v>
      </x:c>
      <x:c r="D53" s="39" t="n">
        <x:v>0.136727505678774</x:v>
      </x:c>
      <x:c r="E53" s="80"/>
      <x:c r="F53" s="80"/>
      <x:c r="G53" s="80"/>
      <x:c r="H53" s="80"/>
      <x:c r="I53" s="80"/>
      <x:c r="J53" s="80"/>
    </x:row>
    <x:row r="54" ht="15" hidden="0" customHeight="1">
      <x:c r="A54" s="25" t="str">
        <x:v>Early Strix +50%</x:v>
      </x:c>
      <x:c r="B54" s="25" t="str">
        <x:v>W3 U4 B4 R4 WU1 WB1 UB2</x:v>
      </x:c>
      <x:c r="C54" s="39" t="n">
        <x:v>18.82420842847666</x:v>
      </x:c>
      <x:c r="D54" s="39" t="n">
        <x:v>0.8777949820766686</x:v>
      </x:c>
      <x:c r="E54" s="80"/>
      <x:c r="F54" s="80"/>
      <x:c r="G54" s="80"/>
      <x:c r="H54" s="80"/>
      <x:c r="I54" s="80"/>
      <x:c r="J54" s="80"/>
    </x:row>
    <x:row r="55" ht="15" hidden="0" customHeight="1">
      <x:c r="A55" s="25" t="str">
        <x:v>No Boulder fixing</x:v>
      </x:c>
      <x:c r="B55" s="25" t="str">
        <x:v>W4 U4 B4 R4 UB3</x:v>
      </x:c>
      <x:c r="C55" s="39" t="n">
        <x:v>19.374268704768184</x:v>
      </x:c>
      <x:c r="D55" s="39" t="n">
        <x:v>0</x:v>
      </x:c>
      <x:c r="E55" s="80"/>
      <x:c r="F55" s="80"/>
      <x:c r="G55" s="80"/>
      <x:c r="H55" s="80"/>
      <x:c r="I55" s="80"/>
      <x:c r="J55" s="80"/>
    </x:row>
    <x:row r="56" ht="15" hidden="0" customHeight="1">
      <x:c r="A56" s="25" t="str">
        <x:v>No Boulder fixing</x:v>
      </x:c>
      <x:c r="B56" s="25" t="str">
        <x:v>W4 U4 B4 R4 WU1 UB2</x:v>
      </x:c>
      <x:c r="C56" s="39" t="n">
        <x:v>19.506798306544145</x:v>
      </x:c>
      <x:c r="D56" s="39" t="n">
        <x:v>0.1325296017759605</x:v>
      </x:c>
      <x:c r="E56" s="80"/>
      <x:c r="F56" s="80"/>
      <x:c r="G56" s="80"/>
      <x:c r="H56" s="80"/>
      <x:c r="I56" s="80"/>
      <x:c r="J56" s="80"/>
    </x:row>
    <x:row r="57" ht="15" hidden="0" customHeight="1">
      <x:c r="A57" s="25" t="str">
        <x:v>No Boulder fixing</x:v>
      </x:c>
      <x:c r="B57" s="25" t="str">
        <x:v>W4 U4 B4 R4 UB2 UR1</x:v>
      </x:c>
      <x:c r="C57" s="39" t="n">
        <x:v>19.53296133303411</x:v>
      </x:c>
      <x:c r="D57" s="39" t="n">
        <x:v>0.1586926282659249</x:v>
      </x:c>
      <x:c r="E57" s="80"/>
      <x:c r="F57" s="80"/>
      <x:c r="G57" s="80"/>
      <x:c r="H57" s="80"/>
      <x:c r="I57" s="80"/>
      <x:c r="J57" s="80"/>
    </x:row>
    <x:row r="58" ht="15" hidden="0" customHeight="1">
      <x:c r="A58" s="25" t="str">
        <x:v>No Boulder fixing</x:v>
      </x:c>
      <x:c r="B58" s="25" t="str">
        <x:v>W4 U4 B4 R4 UB2 BR1</x:v>
      </x:c>
      <x:c r="C58" s="39" t="n">
        <x:v>19.53727498815338</x:v>
      </x:c>
      <x:c r="D58" s="39" t="n">
        <x:v>0.1630062833851973</x:v>
      </x:c>
      <x:c r="E58" s="80"/>
      <x:c r="F58" s="80"/>
      <x:c r="G58" s="80"/>
      <x:c r="H58" s="80"/>
      <x:c r="I58" s="80"/>
      <x:c r="J58" s="80"/>
    </x:row>
    <x:row r="59" ht="15" hidden="0" customHeight="1">
      <x:c r="A59" s="25" t="str">
        <x:v>No Boulder fixing</x:v>
      </x:c>
      <x:c r="B59" s="25" t="str">
        <x:v>W4 U4 B4 R4 WB1 UB2</x:v>
      </x:c>
      <x:c r="C59" s="39" t="n">
        <x:v>19.583202536397067</x:v>
      </x:c>
      <x:c r="D59" s="39" t="n">
        <x:v>0.2089338316288831</x:v>
      </x:c>
      <x:c r="E59" s="80"/>
      <x:c r="F59" s="80"/>
      <x:c r="G59" s="80"/>
      <x:c r="H59" s="80"/>
      <x:c r="I59" s="80"/>
      <x:c r="J59" s="80"/>
    </x:row>
    <x:row r="60" ht="15" hidden="0" customHeight="1">
      <x:c r="A60" s="25" t="str">
        <x:v>No Boulder fixing</x:v>
      </x:c>
      <x:c r="B60" s="25" t="str">
        <x:v>W3 U4 B4 R4 WU1 WB1 UB2</x:v>
      </x:c>
      <x:c r="C60" s="39" t="n">
        <x:v>20.20012203980438</x:v>
      </x:c>
      <x:c r="D60" s="39" t="n">
        <x:v>0.8258533350361965</x:v>
      </x:c>
      <x:c r="E60" s="80"/>
      <x:c r="F60" s="80"/>
      <x:c r="G60" s="80"/>
      <x:c r="H60" s="80"/>
      <x:c r="I60" s="80"/>
      <x:c r="J60" s="80"/>
    </x:row>
    <x:row r="61" ht="15" hidden="0" customHeight="1">
      <x:c r="A61" s="25" t="str">
        <x:v>Opponent interaction +50%</x:v>
      </x:c>
      <x:c r="B61" s="25" t="str">
        <x:v>W4 U4 B4 R4 UB3</x:v>
      </x:c>
      <x:c r="C61" s="39" t="n">
        <x:v>19.23177073152704</x:v>
      </x:c>
      <x:c r="D61" s="39" t="n">
        <x:v>0</x:v>
      </x:c>
      <x:c r="E61" s="80"/>
      <x:c r="F61" s="80"/>
      <x:c r="G61" s="80"/>
      <x:c r="H61" s="80"/>
      <x:c r="I61" s="80"/>
      <x:c r="J61" s="80"/>
    </x:row>
    <x:row r="62" ht="15" hidden="0" customHeight="1">
      <x:c r="A62" s="25" t="str">
        <x:v>Opponent interaction +50%</x:v>
      </x:c>
      <x:c r="B62" s="25" t="str">
        <x:v>W4 U4 B4 R4 UB2 BR1</x:v>
      </x:c>
      <x:c r="C62" s="39" t="n">
        <x:v>19.24409308649074</x:v>
      </x:c>
      <x:c r="D62" s="39" t="n">
        <x:v>0.0123223549637003</x:v>
      </x:c>
      <x:c r="E62" s="80"/>
      <x:c r="F62" s="80"/>
      <x:c r="G62" s="80"/>
      <x:c r="H62" s="80"/>
      <x:c r="I62" s="80"/>
      <x:c r="J62" s="80"/>
    </x:row>
    <x:row r="63" ht="15" hidden="0" customHeight="1">
      <x:c r="A63" s="25" t="str">
        <x:v>Opponent interaction +50%</x:v>
      </x:c>
      <x:c r="B63" s="25" t="str">
        <x:v>W4 U4 B4 R4 WB1 UB2</x:v>
      </x:c>
      <x:c r="C63" s="39" t="n">
        <x:v>19.293158189062588</x:v>
      </x:c>
      <x:c r="D63" s="39" t="n">
        <x:v>0.0613874575355488</x:v>
      </x:c>
      <x:c r="E63" s="80"/>
      <x:c r="F63" s="80"/>
      <x:c r="G63" s="80"/>
      <x:c r="H63" s="80"/>
      <x:c r="I63" s="80"/>
      <x:c r="J63" s="80"/>
    </x:row>
    <x:row r="64" ht="15" hidden="0" customHeight="1">
      <x:c r="A64" s="25" t="str">
        <x:v>Opponent interaction +50%</x:v>
      </x:c>
      <x:c r="B64" s="25" t="str">
        <x:v>W4 U4 B4 R4 WU1 UB2</x:v>
      </x:c>
      <x:c r="C64" s="39" t="n">
        <x:v>19.298813332970287</x:v>
      </x:c>
      <x:c r="D64" s="39" t="n">
        <x:v>0.0670426014432479</x:v>
      </x:c>
      <x:c r="E64" s="80"/>
      <x:c r="F64" s="80"/>
      <x:c r="G64" s="80"/>
      <x:c r="H64" s="80"/>
      <x:c r="I64" s="80"/>
      <x:c r="J64" s="80"/>
    </x:row>
    <x:row r="65" ht="15" hidden="0" customHeight="1">
      <x:c r="A65" s="25" t="str">
        <x:v>Opponent interaction +50%</x:v>
      </x:c>
      <x:c r="B65" s="25" t="str">
        <x:v>W4 U4 B4 R4 UB2 UR1</x:v>
      </x:c>
      <x:c r="C65" s="39" t="n">
        <x:v>19.309015167342</x:v>
      </x:c>
      <x:c r="D65" s="39" t="n">
        <x:v>0.0772444358149613</x:v>
      </x:c>
      <x:c r="E65" s="80"/>
      <x:c r="F65" s="80"/>
      <x:c r="G65" s="80"/>
      <x:c r="H65" s="80"/>
      <x:c r="I65" s="80"/>
      <x:c r="J65" s="80"/>
    </x:row>
    <x:row r="66" ht="15" hidden="0" customHeight="1">
      <x:c r="A66" s="25" t="str">
        <x:v>Opponent interaction +50%</x:v>
      </x:c>
      <x:c r="B66" s="25" t="str">
        <x:v>W3 U4 B4 R4 WU1 WB1 UB2</x:v>
      </x:c>
      <x:c r="C66" s="39" t="n">
        <x:v>20.112428197257383</x:v>
      </x:c>
      <x:c r="D66" s="39" t="n">
        <x:v>0.8806574657303443</x:v>
      </x:c>
      <x:c r="E66" s="80"/>
      <x:c r="F66" s="80"/>
      <x:c r="G66" s="80"/>
      <x:c r="H66" s="80"/>
      <x:c r="I66" s="80"/>
      <x:c r="J66" s="80"/>
    </x:row>
    <x:row r="67" ht="15" hidden="0" customHeight="1">
      <x:c r="A67" s="25" t="str">
        <x:v>Tap penalty x2</x:v>
      </x:c>
      <x:c r="B67" s="25" t="str">
        <x:v>W4 U4 B4 R4 UB3</x:v>
      </x:c>
      <x:c r="C67" s="39" t="n">
        <x:v>18.9699244464</x:v>
      </x:c>
      <x:c r="D67" s="39" t="n">
        <x:v>0</x:v>
      </x:c>
      <x:c r="E67" s="80"/>
      <x:c r="F67" s="80"/>
      <x:c r="G67" s="80"/>
      <x:c r="H67" s="80"/>
      <x:c r="I67" s="80"/>
      <x:c r="J67" s="80"/>
    </x:row>
    <x:row r="68" ht="15" hidden="0" customHeight="1">
      <x:c r="A68" s="25" t="str">
        <x:v>Tap penalty x2</x:v>
      </x:c>
      <x:c r="B68" s="25" t="str">
        <x:v>W4 U4 B4 R4 WU1 UB2</x:v>
      </x:c>
      <x:c r="C68" s="39" t="n">
        <x:v>19.085276062617</x:v>
      </x:c>
      <x:c r="D68" s="39" t="n">
        <x:v>0.1153516162170049</x:v>
      </x:c>
      <x:c r="E68" s="80"/>
      <x:c r="F68" s="80"/>
      <x:c r="G68" s="80"/>
      <x:c r="H68" s="80"/>
      <x:c r="I68" s="80"/>
      <x:c r="J68" s="80"/>
    </x:row>
    <x:row r="69" ht="15" hidden="0" customHeight="1">
      <x:c r="A69" s="25" t="str">
        <x:v>Tap penalty x2</x:v>
      </x:c>
      <x:c r="B69" s="25" t="str">
        <x:v>W4 U4 B4 R4 UB2 BR1</x:v>
      </x:c>
      <x:c r="C69" s="39" t="n">
        <x:v>19.111842084460505</x:v>
      </x:c>
      <x:c r="D69" s="39" t="n">
        <x:v>0.1419176380605087</x:v>
      </x:c>
      <x:c r="E69" s="80"/>
      <x:c r="F69" s="80"/>
      <x:c r="G69" s="80"/>
      <x:c r="H69" s="80"/>
      <x:c r="I69" s="80"/>
      <x:c r="J69" s="80"/>
    </x:row>
    <x:row r="70" ht="15" hidden="0" customHeight="1">
      <x:c r="A70" s="25" t="str">
        <x:v>Tap penalty x2</x:v>
      </x:c>
      <x:c r="B70" s="25" t="str">
        <x:v>W4 U4 B4 R4 UB2 UR1</x:v>
      </x:c>
      <x:c r="C70" s="39" t="n">
        <x:v>19.12288855207877</x:v>
      </x:c>
      <x:c r="D70" s="39" t="n">
        <x:v>0.1529641056787767</x:v>
      </x:c>
      <x:c r="E70" s="80"/>
      <x:c r="F70" s="80"/>
      <x:c r="G70" s="80"/>
      <x:c r="H70" s="80"/>
      <x:c r="I70" s="80"/>
      <x:c r="J70" s="80"/>
    </x:row>
    <x:row r="71" ht="15" hidden="0" customHeight="1">
      <x:c r="A71" s="25" t="str">
        <x:v>Tap penalty x2</x:v>
      </x:c>
      <x:c r="B71" s="25" t="str">
        <x:v>W4 U4 B4 R4 WB1 UB2</x:v>
      </x:c>
      <x:c r="C71" s="39" t="n">
        <x:v>19.132248209123283</x:v>
      </x:c>
      <x:c r="D71" s="39" t="n">
        <x:v>0.1623237627232896</x:v>
      </x:c>
      <x:c r="E71" s="80"/>
      <x:c r="F71" s="80"/>
      <x:c r="G71" s="80"/>
      <x:c r="H71" s="80"/>
      <x:c r="I71" s="80"/>
      <x:c r="J71" s="80"/>
    </x:row>
    <x:row r="72" ht="15" hidden="0" customHeight="1">
      <x:c r="A72" s="25" t="str">
        <x:v>Tap penalty x2</x:v>
      </x:c>
      <x:c r="B72" s="25" t="str">
        <x:v>W3 U4 B4 R4 WU1 WB1 UB2</x:v>
      </x:c>
      <x:c r="C72" s="39" t="n">
        <x:v>20.63253462847666</x:v>
      </x:c>
      <x:c r="D72" s="39" t="n">
        <x:v>1.6626101820766657</x:v>
      </x:c>
      <x:c r="E72" s="80"/>
      <x:c r="F72" s="80"/>
      <x:c r="G72" s="80"/>
      <x:c r="H72" s="80"/>
      <x:c r="I72" s="80"/>
      <x:c r="J72" s="80"/>
    </x:row>
    <x:row r="73" ht="15" hidden="0" customHeight="1">
      <x:c r="A73" s="25" t="str">
        <x:v>Tempo-sensitive</x:v>
      </x:c>
      <x:c r="B73" s="25" t="str">
        <x:v>W4 U4 B4 R4 UB3</x:v>
      </x:c>
      <x:c r="C73" s="39" t="n">
        <x:v>19.01826136306666</x:v>
      </x:c>
      <x:c r="D73" s="39" t="n">
        <x:v>0</x:v>
      </x:c>
      <x:c r="E73" s="80"/>
      <x:c r="F73" s="80"/>
      <x:c r="G73" s="80"/>
      <x:c r="H73" s="80"/>
      <x:c r="I73" s="80"/>
      <x:c r="J73" s="80"/>
    </x:row>
    <x:row r="74" ht="15" hidden="0" customHeight="1">
      <x:c r="A74" s="25" t="str">
        <x:v>Tempo-sensitive</x:v>
      </x:c>
      <x:c r="B74" s="25" t="str">
        <x:v>W4 U4 B4 R4 WU1 UB2</x:v>
      </x:c>
      <x:c r="C74" s="39" t="n">
        <x:v>19.12135199595033</x:v>
      </x:c>
      <x:c r="D74" s="39" t="n">
        <x:v>0.1030906328836707</x:v>
      </x:c>
      <x:c r="E74" s="80"/>
      <x:c r="F74" s="80"/>
      <x:c r="G74" s="80"/>
      <x:c r="H74" s="80"/>
      <x:c r="I74" s="80"/>
      <x:c r="J74" s="80"/>
    </x:row>
    <x:row r="75" ht="15" hidden="0" customHeight="1">
      <x:c r="A75" s="25" t="str">
        <x:v>Tempo-sensitive</x:v>
      </x:c>
      <x:c r="B75" s="25" t="str">
        <x:v>W4 U4 B4 R4 UB2 BR1</x:v>
      </x:c>
      <x:c r="C75" s="39" t="n">
        <x:v>19.147734701127167</x:v>
      </x:c>
      <x:c r="D75" s="39" t="n">
        <x:v>0.1294733380605066</x:v>
      </x:c>
      <x:c r="E75" s="80"/>
      <x:c r="F75" s="80"/>
      <x:c r="G75" s="80"/>
      <x:c r="H75" s="80"/>
      <x:c r="I75" s="80"/>
      <x:c r="J75" s="80"/>
    </x:row>
    <x:row r="76" ht="15" hidden="0" customHeight="1">
      <x:c r="A76" s="25" t="str">
        <x:v>Tempo-sensitive</x:v>
      </x:c>
      <x:c r="B76" s="25" t="str">
        <x:v>W4 U4 B4 R4 UB2 UR1</x:v>
      </x:c>
      <x:c r="C76" s="39" t="n">
        <x:v>19.1606524854121</x:v>
      </x:c>
      <x:c r="D76" s="39" t="n">
        <x:v>0.1423911223454403</x:v>
      </x:c>
      <x:c r="E76" s="80"/>
      <x:c r="F76" s="80"/>
      <x:c r="G76" s="80"/>
      <x:c r="H76" s="80"/>
      <x:c r="I76" s="80"/>
      <x:c r="J76" s="80"/>
    </x:row>
    <x:row r="77" ht="15" hidden="0" customHeight="1">
      <x:c r="A77" s="25" t="str">
        <x:v>Tempo-sensitive</x:v>
      </x:c>
      <x:c r="B77" s="25" t="str">
        <x:v>W4 U4 B4 R4 WB1 UB2</x:v>
      </x:c>
      <x:c r="C77" s="39" t="n">
        <x:v>19.16533329245661</x:v>
      </x:c>
      <x:c r="D77" s="39" t="n">
        <x:v>0.147071929389952</x:v>
      </x:c>
      <x:c r="E77" s="80"/>
      <x:c r="F77" s="80"/>
      <x:c r="G77" s="80"/>
      <x:c r="H77" s="80"/>
      <x:c r="I77" s="80"/>
      <x:c r="J77" s="80"/>
    </x:row>
    <x:row r="78" ht="15" hidden="0" customHeight="1">
      <x:c r="A78" s="27" t="str">
        <x:v>Tempo-sensitive</x:v>
      </x:c>
      <x:c r="B78" s="27" t="str">
        <x:v>W3 U4 B4 R4 WU1 WB1 UB2</x:v>
      </x:c>
      <x:c r="C78" s="40" t="n">
        <x:v>20.489606745143327</x:v>
      </x:c>
      <x:c r="D78" s="40" t="n">
        <x:v>1.4713453820766669</x:v>
      </x:c>
      <x:c r="E78" s="80"/>
      <x:c r="F78" s="80"/>
      <x:c r="G78" s="80"/>
      <x:c r="H78" s="80"/>
      <x:c r="I78" s="80"/>
      <x:c r="J78" s="80"/>
    </x:row>
  </x:sheetData>
  <x:conditionalFormatting sqref="D7:D78">
    <x:cfRule type="colorScale" priority="1">
      <x:colorScale>
        <x:cfvo type="min"/>
        <x:cfvo type="percentile" val="50"/>
        <x:cfvo type="max"/>
        <x:color rgb="FFA7D7B4"/>
        <x:color rgb="FFFFF4D6"/>
        <x:color rgb="FFF8B4B4"/>
      </x:colorScale>
    </x:cfRule>
  </x:conditionalFormatting>
  <x:pageMargins left="0.7" right="0.7" top="0.75" bottom="0.75" header="0.3" footer="0.3"/>
  <x:tableParts count="3">
    <x:tablePart xmlns:r="http://schemas.openxmlformats.org/officeDocument/2006/relationships" r:id="Rb047e0f8a1ac4a7f"/>
    <x:tablePart xmlns:r="http://schemas.openxmlformats.org/officeDocument/2006/relationships" r:id="R11e5974eb36b4b7c"/>
    <x:tablePart xmlns:r="http://schemas.openxmlformats.org/officeDocument/2006/relationships" r:id="Rc5f1a951ecb54f1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3" hidden="0" customWidth="1"/>
    <x:col min="4" max="4" width="15" hidden="0" customWidth="1"/>
    <x:col min="5" max="5" width="2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6" hidden="0" customWidth="1"/>
    <x:col min="11" max="11" width="18" hidden="0" customWidth="1"/>
    <x:col min="12" max="12" width="45" hidden="0" customWidth="1"/>
    <x:col min="13" max="13" width="3" hidden="0" customWidth="1"/>
    <x:col min="14" max="14" width="20" hidden="0" customWidth="1"/>
    <x:col min="15" max="15" width="64" hidden="0" customWidth="1"/>
  </x:cols>
  <x:sheetData>
    <x:row r="2" ht="18" hidden="0" customHeight="1">
      <x:c r="A2" s="65" t="str">
        <x:v>Spell-demand database and model assumptions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  <x:c r="I3" s="80"/>
      <x:c r="J3" s="80"/>
      <x:c r="K3" s="80"/>
      <x:c r="L3" s="80"/>
      <x:c r="M3" s="80"/>
      <x:c r="N3" s="80"/>
      <x:c r="O3" s="80"/>
    </x:row>
    <x:row r="4" ht="15" hidden="0" customHeight="1">
      <x:c r="A4" s="68" t="str">
        <x:v>Timing weights represent when having the option matters, not merely printed mana value.</x:v>
      </x:c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80"/>
      <x:c r="M4" s="80"/>
      <x:c r="N4" s="80"/>
      <x:c r="O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</x:row>
    <x:row r="6" ht="15" hidden="0" customHeight="1">
      <x:c r="A6" s="16" t="str">
        <x:v>Spell</x:v>
      </x:c>
      <x:c r="B6" s="17" t="str">
        <x:v>Copies</x:v>
      </x:c>
      <x:c r="C6" s="17" t="str">
        <x:v>Mana cost</x:v>
      </x:c>
      <x:c r="D6" s="17" t="str">
        <x:v>Colored demand</x:v>
      </x:c>
      <x:c r="E6" s="17" t="str">
        <x:v>Earliest / target window</x:v>
      </x:c>
      <x:c r="F6" s="17" t="str">
        <x:v>T1 weight</x:v>
      </x:c>
      <x:c r="G6" s="17" t="str">
        <x:v>T2 weight</x:v>
      </x:c>
      <x:c r="H6" s="17" t="str">
        <x:v>T3 weight</x:v>
      </x:c>
      <x:c r="I6" s="17" t="str">
        <x:v>T4 weight</x:v>
      </x:c>
      <x:c r="J6" s="17" t="str">
        <x:v>Objective weight</x:v>
      </x:c>
      <x:c r="K6" s="17" t="str">
        <x:v>Timing</x:v>
      </x:c>
      <x:c r="L6" s="18" t="str">
        <x:v>Mechanic note</x:v>
      </x:c>
      <x:c r="M6" s="80"/>
      <x:c r="N6" s="80"/>
      <x:c r="O6" s="80"/>
    </x:row>
    <x:row r="7" ht="15" hidden="0" customHeight="1">
      <x:c r="A7" s="23" t="str">
        <x:v>Baleful Strix</x:v>
      </x:c>
      <x:c r="B7" s="23" t="n">
        <x:v>3</x:v>
      </x:c>
      <x:c r="C7" s="23" t="str">
        <x:v>{U}{B}</x:v>
      </x:c>
      <x:c r="D7" s="23" t="str">
        <x:v>UB</x:v>
      </x:c>
      <x:c r="E7" s="23" t="str">
        <x:v>2–3</x:v>
      </x:c>
      <x:c r="F7" s="41" t="n">
        <x:v>0</x:v>
      </x:c>
      <x:c r="G7" s="41" t="n">
        <x:v>0.55</x:v>
      </x:c>
      <x:c r="H7" s="41" t="n">
        <x:v>0.35</x:v>
      </x:c>
      <x:c r="I7" s="41" t="n">
        <x:v>0.1</x:v>
      </x:c>
      <x:c r="J7" s="52" t="n">
        <x:v>3.6</x:v>
      </x:c>
      <x:c r="K7" s="23" t="str">
        <x:v>my turn</x:v>
      </x:c>
      <x:c r="L7" s="23" t="str">
        <x:v>Artifact creature; two distinct colored mana</x:v>
      </x:c>
      <x:c r="M7" s="80"/>
      <x:c r="N7" s="80"/>
      <x:c r="O7" s="80"/>
    </x:row>
    <x:row r="8" ht="15" hidden="0" customHeight="1">
      <x:c r="A8" s="25" t="str">
        <x:v>Blood Fountain</x:v>
      </x:c>
      <x:c r="B8" s="25" t="n">
        <x:v>1</x:v>
      </x:c>
      <x:c r="C8" s="25" t="str">
        <x:v>{B}</x:v>
      </x:c>
      <x:c r="D8" s="25" t="str">
        <x:v>B</x:v>
      </x:c>
      <x:c r="E8" s="25" t="str">
        <x:v>1–2</x:v>
      </x:c>
      <x:c r="F8" s="38" t="n">
        <x:v>0.7</x:v>
      </x:c>
      <x:c r="G8" s="38" t="n">
        <x:v>0.25</x:v>
      </x:c>
      <x:c r="H8" s="38" t="n">
        <x:v>0.05</x:v>
      </x:c>
      <x:c r="I8" s="38" t="n">
        <x:v>0</x:v>
      </x:c>
      <x:c r="J8" s="39" t="n">
        <x:v>0.5</x:v>
      </x:c>
      <x:c r="K8" s="25" t="str">
        <x:v>my turn</x:v>
      </x:c>
      <x:c r="L8" s="25" t="str">
        <x:v>One-mana artifact development</x:v>
      </x:c>
      <x:c r="M8" s="80"/>
      <x:c r="N8" s="80"/>
      <x:c r="O8" s="80"/>
    </x:row>
    <x:row r="9" ht="15" hidden="0" customHeight="1">
      <x:c r="A9" s="25" t="str">
        <x:v>Cryogen Relic</x:v>
      </x:c>
      <x:c r="B9" s="25" t="n">
        <x:v>4</x:v>
      </x:c>
      <x:c r="C9" s="25" t="str">
        <x:v>{1}{U}</x:v>
      </x:c>
      <x:c r="D9" s="25" t="str">
        <x:v>U</x:v>
      </x:c>
      <x:c r="E9" s="25" t="str">
        <x:v>2–3</x:v>
      </x:c>
      <x:c r="F9" s="38" t="n">
        <x:v>0</x:v>
      </x:c>
      <x:c r="G9" s="38" t="n">
        <x:v>0.65</x:v>
      </x:c>
      <x:c r="H9" s="38" t="n">
        <x:v>0.3</x:v>
      </x:c>
      <x:c r="I9" s="38" t="n">
        <x:v>0.05</x:v>
      </x:c>
      <x:c r="J9" s="39" t="n">
        <x:v>3.2</x:v>
      </x:c>
      <x:c r="K9" s="25" t="str">
        <x:v>my turn</x:v>
      </x:c>
      <x:c r="L9" s="25" t="str">
        <x:v>Artifact; draws on entry/exit</x:v>
      </x:c>
      <x:c r="M9" s="80"/>
      <x:c r="N9" s="80"/>
      <x:c r="O9" s="80"/>
    </x:row>
    <x:row r="10" ht="15" hidden="0" customHeight="1">
      <x:c r="A10" s="25" t="str">
        <x:v>Dispatch</x:v>
      </x:c>
      <x:c r="B10" s="25" t="n">
        <x:v>3</x:v>
      </x:c>
      <x:c r="C10" s="25" t="str">
        <x:v>{W}</x:v>
      </x:c>
      <x:c r="D10" s="25" t="str">
        <x:v>W</x:v>
      </x:c>
      <x:c r="E10" s="25" t="str">
        <x:v>1–3</x:v>
      </x:c>
      <x:c r="F10" s="38" t="n">
        <x:v>0.15</x:v>
      </x:c>
      <x:c r="G10" s="38" t="n">
        <x:v>0.45</x:v>
      </x:c>
      <x:c r="H10" s="38" t="n">
        <x:v>0.3</x:v>
      </x:c>
      <x:c r="I10" s="38" t="n">
        <x:v>0.1</x:v>
      </x:c>
      <x:c r="J10" s="39" t="n">
        <x:v>2.7</x:v>
      </x:c>
      <x:c r="K10" s="25" t="str">
        <x:v>either</x:v>
      </x:c>
      <x:c r="L10" s="25" t="str">
        <x:v>Exile mode also needs Metalcraft</x:v>
      </x:c>
      <x:c r="M10" s="80"/>
      <x:c r="N10" s="80"/>
      <x:c r="O10" s="80"/>
    </x:row>
    <x:row r="11" ht="15" hidden="0" customHeight="1">
      <x:c r="A11" s="25" t="str">
        <x:v>Galvanic Blast</x:v>
      </x:c>
      <x:c r="B11" s="25" t="n">
        <x:v>4</x:v>
      </x:c>
      <x:c r="C11" s="25" t="str">
        <x:v>{R}</x:v>
      </x:c>
      <x:c r="D11" s="25" t="str">
        <x:v>R</x:v>
      </x:c>
      <x:c r="E11" s="25" t="str">
        <x:v>1–2</x:v>
      </x:c>
      <x:c r="F11" s="38" t="n">
        <x:v>0.35</x:v>
      </x:c>
      <x:c r="G11" s="38" t="n">
        <x:v>0.4</x:v>
      </x:c>
      <x:c r="H11" s="38" t="n">
        <x:v>0.2</x:v>
      </x:c>
      <x:c r="I11" s="38" t="n">
        <x:v>0.05</x:v>
      </x:c>
      <x:c r="J11" s="39" t="n">
        <x:v>4.8</x:v>
      </x:c>
      <x:c r="K11" s="25" t="str">
        <x:v>either</x:v>
      </x:c>
      <x:c r="L11" s="25" t="str">
        <x:v>Early instant interaction</x:v>
      </x:c>
      <x:c r="M11" s="80"/>
      <x:c r="N11" s="80"/>
      <x:c r="O11" s="80"/>
    </x:row>
    <x:row r="12" ht="15" hidden="0" customHeight="1">
      <x:c r="A12" s="25" t="str">
        <x:v>Giant's Boulder</x:v>
      </x:c>
      <x:c r="B12" s="25" t="n">
        <x:v>4</x:v>
      </x:c>
      <x:c r="C12" s="25" t="str">
        <x:v>{1}</x:v>
      </x:c>
      <x:c r="D12" s="25" t="str">
        <x:v>—</x:v>
      </x:c>
      <x:c r="E12" s="25" t="str">
        <x:v>1–2</x:v>
      </x:c>
      <x:c r="F12" s="38" t="n">
        <x:v>0</x:v>
      </x:c>
      <x:c r="G12" s="38" t="n">
        <x:v>0</x:v>
      </x:c>
      <x:c r="H12" s="38" t="n">
        <x:v>0</x:v>
      </x:c>
      <x:c r="I12" s="38" t="n">
        <x:v>0</x:v>
      </x:c>
      <x:c r="J12" s="39" t="n">
        <x:v>0</x:v>
      </x:c>
      <x:c r="K12" s="25" t="str">
        <x:v>my turn setup</x:v>
      </x:c>
      <x:c r="L12" s="25" t="str">
        <x:v>{1},{T}: filter one mana to any color; scry 2 on entry</x:v>
      </x:c>
      <x:c r="M12" s="80"/>
      <x:c r="N12" s="80"/>
      <x:c r="O12" s="80"/>
    </x:row>
    <x:row r="13" ht="15" hidden="0" customHeight="1">
      <x:c r="A13" s="25" t="str">
        <x:v>Glint Hawk</x:v>
      </x:c>
      <x:c r="B13" s="25" t="n">
        <x:v>4</x:v>
      </x:c>
      <x:c r="C13" s="25" t="str">
        <x:v>{W}</x:v>
      </x:c>
      <x:c r="D13" s="25" t="str">
        <x:v>W</x:v>
      </x:c>
      <x:c r="E13" s="25" t="str">
        <x:v>2–3</x:v>
      </x:c>
      <x:c r="F13" s="38" t="n">
        <x:v>0</x:v>
      </x:c>
      <x:c r="G13" s="38" t="n">
        <x:v>0.55</x:v>
      </x:c>
      <x:c r="H13" s="38" t="n">
        <x:v>0.35</x:v>
      </x:c>
      <x:c r="I13" s="38" t="n">
        <x:v>0.1</x:v>
      </x:c>
      <x:c r="J13" s="39" t="n">
        <x:v>3.2</x:v>
      </x:c>
      <x:c r="K13" s="25" t="str">
        <x:v>my turn</x:v>
      </x:c>
      <x:c r="L13" s="25" t="str">
        <x:v>Needs another artifact to return</x:v>
      </x:c>
      <x:c r="M13" s="80"/>
      <x:c r="N13" s="80"/>
      <x:c r="O13" s="80"/>
    </x:row>
    <x:row r="14" ht="15" hidden="0" customHeight="1">
      <x:c r="A14" s="25" t="str">
        <x:v>Makeshift Munitions</x:v>
      </x:c>
      <x:c r="B14" s="25" t="n">
        <x:v>1</x:v>
      </x:c>
      <x:c r="C14" s="25" t="str">
        <x:v>{1}{R}</x:v>
      </x:c>
      <x:c r="D14" s="25" t="str">
        <x:v>R</x:v>
      </x:c>
      <x:c r="E14" s="25" t="str">
        <x:v>3–4</x:v>
      </x:c>
      <x:c r="F14" s="38" t="n">
        <x:v>0</x:v>
      </x:c>
      <x:c r="G14" s="38" t="n">
        <x:v>0.2</x:v>
      </x:c>
      <x:c r="H14" s="38" t="n">
        <x:v>0.45</x:v>
      </x:c>
      <x:c r="I14" s="38" t="n">
        <x:v>0.35</x:v>
      </x:c>
      <x:c r="J14" s="39" t="n">
        <x:v>0.4</x:v>
      </x:c>
      <x:c r="K14" s="25" t="str">
        <x:v>my turn</x:v>
      </x:c>
      <x:c r="L14" s="25" t="str">
        <x:v>Engine; red not normally urgent on T2</x:v>
      </x:c>
      <x:c r="M14" s="80"/>
      <x:c r="N14" s="80"/>
      <x:c r="O14" s="80"/>
    </x:row>
    <x:row r="15" ht="15" hidden="0" customHeight="1">
      <x:c r="A15" s="25" t="str">
        <x:v>Myr Enforcer</x:v>
      </x:c>
      <x:c r="B15" s="25" t="n">
        <x:v>4</x:v>
      </x:c>
      <x:c r="C15" s="25" t="str">
        <x:v>{7}</x:v>
      </x:c>
      <x:c r="D15" s="25" t="str">
        <x:v>—</x:v>
      </x:c>
      <x:c r="E15" s="25" t="str">
        <x:v>2–4</x:v>
      </x:c>
      <x:c r="F15" s="38" t="n">
        <x:v>0</x:v>
      </x:c>
      <x:c r="G15" s="38" t="n">
        <x:v>0</x:v>
      </x:c>
      <x:c r="H15" s="38" t="n">
        <x:v>0</x:v>
      </x:c>
      <x:c r="I15" s="38" t="n">
        <x:v>0</x:v>
      </x:c>
      <x:c r="J15" s="39" t="n">
        <x:v>0</x:v>
      </x:c>
      <x:c r="K15" s="25" t="str">
        <x:v>my turn</x:v>
      </x:c>
      <x:c r="L15" s="25" t="str">
        <x:v>Affinity for artifacts; no color demand</x:v>
      </x:c>
      <x:c r="M15" s="80"/>
      <x:c r="N15" s="80"/>
      <x:c r="O15" s="80"/>
    </x:row>
    <x:row r="16" ht="15" hidden="0" customHeight="1">
      <x:c r="A16" s="25" t="str">
        <x:v>Nihil Spellbomb</x:v>
      </x:c>
      <x:c r="B16" s="25" t="n">
        <x:v>1</x:v>
      </x:c>
      <x:c r="C16" s="25" t="str">
        <x:v>{1}</x:v>
      </x:c>
      <x:c r="D16" s="25" t="str">
        <x:v>optional B</x:v>
      </x:c>
      <x:c r="E16" s="25" t="str">
        <x:v>1–4</x:v>
      </x:c>
      <x:c r="F16" s="38" t="n">
        <x:v>0</x:v>
      </x:c>
      <x:c r="G16" s="38" t="n">
        <x:v>0</x:v>
      </x:c>
      <x:c r="H16" s="38" t="n">
        <x:v>0</x:v>
      </x:c>
      <x:c r="I16" s="38" t="n">
        <x:v>0</x:v>
      </x:c>
      <x:c r="J16" s="39" t="n">
        <x:v>0</x:v>
      </x:c>
      <x:c r="K16" s="25" t="str">
        <x:v>either</x:v>
      </x:c>
      <x:c r="L16" s="25" t="str">
        <x:v>Cast is colorless; B only for draw trigger</x:v>
      </x:c>
      <x:c r="M16" s="80"/>
      <x:c r="N16" s="80"/>
      <x:c r="O16" s="80"/>
    </x:row>
    <x:row r="17" ht="15" hidden="0" customHeight="1">
      <x:c r="A17" s="25" t="str">
        <x:v>Reckoner's Bargain</x:v>
      </x:c>
      <x:c r="B17" s="25" t="n">
        <x:v>3</x:v>
      </x:c>
      <x:c r="C17" s="25" t="str">
        <x:v>{1}{B}</x:v>
      </x:c>
      <x:c r="D17" s="25" t="str">
        <x:v>B</x:v>
      </x:c>
      <x:c r="E17" s="25" t="str">
        <x:v>2–3</x:v>
      </x:c>
      <x:c r="F17" s="38" t="n">
        <x:v>0</x:v>
      </x:c>
      <x:c r="G17" s="38" t="n">
        <x:v>0.35</x:v>
      </x:c>
      <x:c r="H17" s="38" t="n">
        <x:v>0.45</x:v>
      </x:c>
      <x:c r="I17" s="38" t="n">
        <x:v>0.2</x:v>
      </x:c>
      <x:c r="J17" s="39" t="n">
        <x:v>2.1</x:v>
      </x:c>
      <x:c r="K17" s="25" t="str">
        <x:v>either</x:v>
      </x:c>
      <x:c r="L17" s="25" t="str">
        <x:v>Instant; usually opponent-turn capable</x:v>
      </x:c>
      <x:c r="M17" s="80"/>
      <x:c r="N17" s="80"/>
      <x:c r="O17" s="80"/>
    </x:row>
    <x:row r="18" ht="15" hidden="0" customHeight="1">
      <x:c r="A18" s="25" t="str">
        <x:v>Refurbished Familiar</x:v>
      </x:c>
      <x:c r="B18" s="25" t="n">
        <x:v>4</x:v>
      </x:c>
      <x:c r="C18" s="25" t="str">
        <x:v>{3}{B}</x:v>
      </x:c>
      <x:c r="D18" s="25" t="str">
        <x:v>B</x:v>
      </x:c>
      <x:c r="E18" s="25" t="str">
        <x:v>2–3</x:v>
      </x:c>
      <x:c r="F18" s="38" t="n">
        <x:v>0</x:v>
      </x:c>
      <x:c r="G18" s="38" t="n">
        <x:v>0.4</x:v>
      </x:c>
      <x:c r="H18" s="38" t="n">
        <x:v>0.45</x:v>
      </x:c>
      <x:c r="I18" s="38" t="n">
        <x:v>0.15</x:v>
      </x:c>
      <x:c r="J18" s="39" t="n">
        <x:v>3.6</x:v>
      </x:c>
      <x:c r="K18" s="25" t="str">
        <x:v>my turn</x:v>
      </x:c>
      <x:c r="L18" s="25" t="str">
        <x:v>Affinity for artifacts</x:v>
      </x:c>
      <x:c r="M18" s="80"/>
      <x:c r="N18" s="80"/>
      <x:c r="O18" s="80"/>
    </x:row>
    <x:row r="19" ht="15" hidden="0" customHeight="1">
      <x:c r="A19" s="25" t="str">
        <x:v>Thoughtcast</x:v>
      </x:c>
      <x:c r="B19" s="25" t="n">
        <x:v>4</x:v>
      </x:c>
      <x:c r="C19" s="25" t="str">
        <x:v>{4}{U}</x:v>
      </x:c>
      <x:c r="D19" s="25" t="str">
        <x:v>U</x:v>
      </x:c>
      <x:c r="E19" s="25" t="str">
        <x:v>2–3</x:v>
      </x:c>
      <x:c r="F19" s="38" t="n">
        <x:v>0</x:v>
      </x:c>
      <x:c r="G19" s="38" t="n">
        <x:v>0.4</x:v>
      </x:c>
      <x:c r="H19" s="38" t="n">
        <x:v>0.45</x:v>
      </x:c>
      <x:c r="I19" s="38" t="n">
        <x:v>0.15</x:v>
      </x:c>
      <x:c r="J19" s="39" t="n">
        <x:v>4</x:v>
      </x:c>
      <x:c r="K19" s="25" t="str">
        <x:v>my turn</x:v>
      </x:c>
      <x:c r="L19" s="25" t="str">
        <x:v>Affinity for artifacts</x:v>
      </x:c>
      <x:c r="M19" s="80"/>
      <x:c r="N19" s="80"/>
      <x:c r="O19" s="80"/>
    </x:row>
    <x:row r="20" ht="15" hidden="0" customHeight="1">
      <x:c r="A20" s="27" t="str">
        <x:v>Utrom Monitor</x:v>
      </x:c>
      <x:c r="B20" s="27" t="n">
        <x:v>1</x:v>
      </x:c>
      <x:c r="C20" s="27" t="str">
        <x:v>{4}{U}</x:v>
      </x:c>
      <x:c r="D20" s="27" t="str">
        <x:v>U</x:v>
      </x:c>
      <x:c r="E20" s="27" t="str">
        <x:v>2–4</x:v>
      </x:c>
      <x:c r="F20" s="42" t="n">
        <x:v>0</x:v>
      </x:c>
      <x:c r="G20" s="42" t="n">
        <x:v>0.2</x:v>
      </x:c>
      <x:c r="H20" s="42" t="n">
        <x:v>0.45</x:v>
      </x:c>
      <x:c r="I20" s="42" t="n">
        <x:v>0.35</x:v>
      </x:c>
      <x:c r="J20" s="40" t="n">
        <x:v>0.6</x:v>
      </x:c>
      <x:c r="K20" s="27" t="str">
        <x:v>my turn</x:v>
      </x:c>
      <x:c r="L20" s="27" t="str">
        <x:v>Affinity for artifacts; flying</x:v>
      </x:c>
      <x:c r="M20" s="80"/>
      <x:c r="N20" s="80"/>
      <x:c r="O20" s="80"/>
    </x:row>
    <x:row r="21" ht="15" hidden="0" customHeight="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</x:row>
    <x:row r="22" ht="15" hidden="0" customHeight="1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</x:row>
    <x:row r="23" ht="15" hidden="0" customHeight="1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73" t="str">
        <x:v>Core modeling assumptions</x:v>
      </x:c>
      <x:c r="O23" s="80"/>
    </x:row>
    <x:row r="24" ht="34" hidden="0" customHeight="1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71" t="str">
        <x:v>Search space</x:v>
      </x:c>
      <x:c r="O24" s="75" t="str">
        <x:v>296,706 legal 19-land integer configurations; mono counts 1–4 and dual counts 0–4.</x:v>
      </x:c>
    </x:row>
    <x:row r="25" ht="34" hidden="0" customHeight="1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71" t="str">
        <x:v>Sequencing</x:v>
      </x:c>
      <x:c r="O25" s="75" t="str">
        <x:v>Land choices maximize immediate castability, future color combinations, low-cost Bridge deployment, and Boulder usage.</x:v>
      </x:c>
    </x:row>
    <x:row r="26" ht="34" hidden="0" customHeight="1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71" t="str">
        <x:v>Artifacts</x:v>
      </x:c>
      <x:c r="O26" s="75" t="str">
        <x:v>Every land counts immediately for Affinity and Metalcraft, including a Bridge played tapped this turn.</x:v>
      </x:c>
    </x:row>
    <x:row r="27" ht="34" hidden="0" customHeight="1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71" t="str">
        <x:v>Boulder</x:v>
      </x:c>
      <x:c r="O27" s="75" t="str">
        <x:v>Filters one existing mana through {1}, {T}; it does not add net mana or erase ETB-tapped loss.</x:v>
      </x:c>
    </x:row>
    <x:row r="28" ht="34" hidden="0" customHeight="1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71" t="str">
        <x:v>Opponent turn</x:v>
      </x:c>
      <x:c r="O28" s="75" t="str">
        <x:v>Only 55% of theoretical Boulder rescue is credited to Blast, Dispatch, and Reckoner's Bargain.</x:v>
      </x:c>
    </x:row>
    <x:row r="29" ht="34" hidden="0" customHeight="1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71" t="str">
        <x:v>Scry</x:v>
      </x:c>
      <x:c r="O29" s="75" t="str">
        <x:v>Boulder's scry improves card quality but is not converted into virtual colored sources; this avoids double counting.</x:v>
      </x:c>
    </x:row>
    <x:row r="30" ht="34" hidden="0" customHeight="1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71" t="str">
        <x:v>Mulligans</x:v>
      </x:c>
      <x:c r="O30" s="75" t="str">
        <x:v>Fixed London policy applied identically to every finalist; keeps most 2–4 land hands with an untapped land.</x:v>
      </x:c>
    </x:row>
    <x:row r="31" ht="34" hidden="0" customHeight="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71" t="str">
        <x:v>Limits</x:v>
      </x:c>
      <x:c r="O31" s="75" t="str">
        <x:v>The score estimates mana functionality, not matchup-specific win rate. Sideboard stress testing was unavailable without a locked matrix.</x:v>
      </x:c>
    </x:row>
  </x:sheetData>
  <x:pageMargins left="0.7" right="0.7" top="0.75" bottom="0.75" header="0.3" footer="0.3"/>
  <x:tableParts count="1">
    <x:tablePart xmlns:r="http://schemas.openxmlformats.org/officeDocument/2006/relationships" r:id="R850268cb03424cf1"/>
  </x:tableParts>
</x:worksheet>
</file>

<file path=xl/worksheets/sheet10.xml><?xml version="1.0" encoding="utf-8"?>
<x:worksheet xmlns:x="http://schemas.openxmlformats.org/spreadsheetml/2006/main">
  <x:sheetPr>
    <x:tabColor rgb="FF7A869A"/>
  </x:sheetPr>
  <x:sheetViews>
    <x:sheetView showGridLines="0" workbookViewId="0"/>
  </x:sheetViews>
  <x:sheetFormatPr defaultRowHeight="15"/>
  <x:cols>
    <x:col min="1" max="1" width="36" hidden="0" customWidth="1"/>
    <x:col min="2" max="2" width="55" hidden="0" customWidth="1"/>
    <x:col min="3" max="3" width="90" hidden="0" customWidth="1"/>
  </x:cols>
  <x:sheetData>
    <x:row r="2" ht="18" hidden="0" customHeight="1">
      <x:c r="A2" s="65" t="str">
        <x:v>Sources and verification notes</x:v>
      </x:c>
      <x:c r="B2" s="80"/>
      <x:c r="C2" s="80"/>
      <x:c r="D2" s="80"/>
      <x:c r="E2" s="80"/>
      <x:c r="F2" s="80"/>
      <x:c r="G2" s="80"/>
      <x:c r="H2" s="80"/>
    </x:row>
    <x:row r="3" ht="15" hidden="0" customHeight="1">
      <x:c r="A3" s="81"/>
      <x:c r="B3" s="81"/>
      <x:c r="C3" s="81"/>
      <x:c r="D3" s="81"/>
      <x:c r="E3" s="81"/>
      <x:c r="F3" s="81"/>
      <x:c r="G3" s="81"/>
      <x:c r="H3" s="81"/>
    </x:row>
    <x:row r="4" ht="15" hidden="0" customHeight="1">
      <x:c r="A4" s="68" t="str">
        <x:v>Card text was checked against current card databases; probability and simulation outputs are original calculations.</x:v>
      </x:c>
      <x:c r="B4" s="80"/>
      <x:c r="C4" s="80"/>
      <x:c r="D4" s="80"/>
      <x:c r="E4" s="80"/>
      <x:c r="F4" s="80"/>
      <x:c r="G4" s="80"/>
      <x:c r="H4" s="80"/>
    </x:row>
    <x:row r="5" ht="15" hidden="0" customHeight="1">
      <x:c r="A5" s="80"/>
      <x:c r="B5" s="80"/>
      <x:c r="C5" s="80"/>
      <x:c r="D5" s="80"/>
      <x:c r="E5" s="80"/>
      <x:c r="F5" s="80"/>
      <x:c r="G5" s="80"/>
      <x:c r="H5" s="80"/>
    </x:row>
    <x:row r="6" ht="15" hidden="0" customHeight="1">
      <x:c r="A6" s="16" t="str">
        <x:v>Source</x:v>
      </x:c>
      <x:c r="B6" s="17" t="str">
        <x:v>Use</x:v>
      </x:c>
      <x:c r="C6" s="18" t="str">
        <x:v>URL</x:v>
      </x:c>
      <x:c r="D6" s="80"/>
      <x:c r="E6" s="80"/>
      <x:c r="F6" s="80"/>
      <x:c r="G6" s="80"/>
      <x:c r="H6" s="80"/>
    </x:row>
    <x:row r="7" ht="15" hidden="0" customHeight="1">
      <x:c r="A7" s="23" t="str">
        <x:v>Scryfall — Giant's Boulder</x:v>
      </x:c>
      <x:c r="B7" s="23" t="str">
        <x:v>Mana cost, artifact type, activated abilities</x:v>
      </x:c>
      <x:c r="C7" s="54" t="str">
        <x:v>https://scryfall.com/card/hob/173/giants-boulder</x:v>
      </x:c>
      <x:c r="D7" s="80"/>
      <x:c r="E7" s="80"/>
      <x:c r="F7" s="80"/>
      <x:c r="G7" s="80"/>
      <x:c r="H7" s="80"/>
    </x:row>
    <x:row r="8" ht="15" hidden="0" customHeight="1">
      <x:c r="A8" s="25" t="str">
        <x:v>Scryfall — Cryogen Relic</x:v>
      </x:c>
      <x:c r="B8" s="25" t="str">
        <x:v>Mana cost and draw text</x:v>
      </x:c>
      <x:c r="C8" s="55" t="str">
        <x:v>https://scryfall.com/card/eoe/52/cryogen-relic</x:v>
      </x:c>
      <x:c r="D8" s="80"/>
      <x:c r="E8" s="80"/>
      <x:c r="F8" s="80"/>
      <x:c r="G8" s="80"/>
      <x:c r="H8" s="80"/>
    </x:row>
    <x:row r="9" ht="15" hidden="0" customHeight="1">
      <x:c r="A9" s="25" t="str">
        <x:v>Scryfall — Utrom Monitor</x:v>
      </x:c>
      <x:c r="B9" s="25" t="str">
        <x:v>{4}{U}, affinity for artifacts, flying</x:v>
      </x:c>
      <x:c r="C9" s="55" t="str">
        <x:v>https://scryfall.com/card/tmc/113/utrom-monitor</x:v>
      </x:c>
      <x:c r="D9" s="80"/>
      <x:c r="E9" s="80"/>
      <x:c r="F9" s="80"/>
      <x:c r="G9" s="80"/>
      <x:c r="H9" s="80"/>
    </x:row>
    <x:row r="10" ht="15" hidden="0" customHeight="1">
      <x:c r="A10" s="25" t="str">
        <x:v>Frank Karsten source-count method</x:v>
      </x:c>
      <x:c r="B10" s="25" t="str">
        <x:v>Secondary source-count sanity check only</x:v>
      </x:c>
      <x:c r="C10" s="55" t="str">
        <x:v>https://www.tcgplayer.com/content/article/How-Many-Sources-Do-You-Need-to-Consistently-Cast-Your-Spells/</x:v>
      </x:c>
      <x:c r="D10" s="80"/>
      <x:c r="E10" s="80"/>
      <x:c r="F10" s="80"/>
      <x:c r="G10" s="80"/>
      <x:c r="H10" s="80"/>
    </x:row>
    <x:row r="11" ht="15" hidden="0" customHeight="1">
      <x:c r="A11" s="27" t="str">
        <x:v>User-supplied locked deck</x:v>
      </x:c>
      <x:c r="B11" s="27" t="str">
        <x:v>Authoritative 41 nonlands, 19 lands, and search constraints</x:v>
      </x:c>
      <x:c r="C11" s="27" t="str">
        <x:v>Prompt dated 2026-09-17</x:v>
      </x:c>
      <x:c r="D11" s="80"/>
      <x:c r="E11" s="80"/>
      <x:c r="F11" s="80"/>
      <x:c r="G11" s="80"/>
      <x:c r="H11" s="80"/>
    </x:row>
    <x:row r="12" ht="15" hidden="0" customHeight="1">
      <x:c r="A12" s="80"/>
      <x:c r="B12" s="80"/>
      <x:c r="C12" s="80"/>
      <x:c r="D12" s="80"/>
      <x:c r="E12" s="80"/>
      <x:c r="F12" s="80"/>
      <x:c r="G12" s="80"/>
      <x:c r="H12" s="80"/>
    </x:row>
    <x:row r="13" ht="15" hidden="0" customHeight="1">
      <x:c r="A13" s="80"/>
      <x:c r="B13" s="80"/>
      <x:c r="C13" s="80"/>
      <x:c r="D13" s="80"/>
      <x:c r="E13" s="80"/>
      <x:c r="F13" s="80"/>
      <x:c r="G13" s="80"/>
      <x:c r="H13" s="80"/>
    </x:row>
    <x:row r="14" ht="15" hidden="0" customHeight="1">
      <x:c r="A14" s="73" t="str">
        <x:v>Reproducibility</x:v>
      </x:c>
      <x:c r="B14" s="80"/>
      <x:c r="C14" s="80"/>
      <x:c r="D14" s="80"/>
      <x:c r="E14" s="80"/>
      <x:c r="F14" s="80"/>
      <x:c r="G14" s="80"/>
      <x:c r="H14" s="80"/>
    </x:row>
    <x:row r="15" ht="15" hidden="0" customHeight="1">
      <x:c r="A15" s="71" t="str">
        <x:v>Enumeration</x:v>
      </x:c>
      <x:c r="B15" s="80" t="str">
        <x:v>Complete legal integer search: 296,706 configurations.</x:v>
      </x:c>
      <x:c r="C15" s="80"/>
      <x:c r="D15" s="80"/>
      <x:c r="E15" s="80"/>
      <x:c r="F15" s="80"/>
      <x:c r="G15" s="80"/>
      <x:c r="H15" s="80"/>
    </x:row>
    <x:row r="16" ht="15" hidden="0" customHeight="1">
      <x:c r="A16" s="71" t="str">
        <x:v>Stage C</x:v>
      </x:c>
      <x:c r="B16" s="80" t="str">
        <x:v>250,000 common-random-number games per serious frontier candidate.</x:v>
      </x:c>
      <x:c r="C16" s="80"/>
      <x:c r="D16" s="80"/>
      <x:c r="E16" s="80"/>
      <x:c r="F16" s="80"/>
      <x:c r="G16" s="80"/>
      <x:c r="H16" s="80"/>
    </x:row>
    <x:row r="17" ht="15" hidden="0" customHeight="1">
      <x:c r="A17" s="71" t="str">
        <x:v>Final validation</x:v>
      </x:c>
      <x:c r="B17" s="80" t="str">
        <x:v>1,000,000 raw-seven plus 1,000,000 London-mulligan games per finalist.</x:v>
      </x:c>
      <x:c r="C17" s="80"/>
      <x:c r="D17" s="80"/>
      <x:c r="E17" s="80"/>
      <x:c r="F17" s="80"/>
      <x:c r="G17" s="80"/>
      <x:c r="H17" s="80"/>
    </x:row>
    <x:row r="18" ht="15" hidden="0" customHeight="1">
      <x:c r="A18" s="71" t="str">
        <x:v>Random seed</x:v>
      </x:c>
      <x:c r="B18" s="80" t="str">
        <x:v>20260917 for final validation; three additional 250,000-game replicates used 20260918–20260920.</x:v>
      </x:c>
      <x:c r="C18" s="80"/>
      <x:c r="D18" s="80"/>
      <x:c r="E18" s="80"/>
      <x:c r="F18" s="80"/>
      <x:c r="G18" s="80"/>
      <x:c r="H18" s="80"/>
    </x:row>
    <x:row r="19" ht="15" hidden="0" customHeight="1">
      <x:c r="A19" s="71" t="str">
        <x:v>Uncertainty</x:v>
      </x:c>
      <x:c r="B19" s="80" t="str">
        <x:v>Replicate SE for C0-minus-optimal composite gap: 0.0052 score units; mean gap 0.8690.</x:v>
      </x:c>
      <x:c r="C19" s="80"/>
      <x:c r="D19" s="80"/>
      <x:c r="E19" s="80"/>
      <x:c r="F19" s="80"/>
      <x:c r="G19" s="80"/>
      <x:c r="H19" s="80"/>
    </x:row>
  </x:sheetData>
  <x:pageMargins left="0.7" right="0.7" top="0.75" bottom="0.75" header="0.3" footer="0.3"/>
  <x:tableParts count="1">
    <x:tablePart xmlns:r="http://schemas.openxmlformats.org/officeDocument/2006/relationships" r:id="R58632db255b948e0"/>
  </x:tableParts>
</x:worksheet>
</file>